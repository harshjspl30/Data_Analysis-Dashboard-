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3.xml" ContentType="application/vnd.openxmlformats-officedocument.drawingml.chartshapes+xml"/>
  <Override PartName="/xl/charts/chart12.xml" ContentType="application/vnd.openxmlformats-officedocument.drawingml.chart+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timelines/timeline1.xml" ContentType="application/vnd.ms-excel.timelin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5.xml" ContentType="application/vnd.openxmlformats-officedocument.drawing+xml"/>
  <Override PartName="/xl/slicers/slicer2.xml" ContentType="application/vnd.ms-excel.slicer+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6.xml" ContentType="application/vnd.openxmlformats-officedocument.drawing+xml"/>
  <Override PartName="/xl/slicers/slicer3.xml" ContentType="application/vnd.ms-excel.slicer+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comments1.xml" ContentType="application/vnd.openxmlformats-officedocument.spreadsheetml.comments+xml"/>
  <Override PartName="/xl/threadedComments/threadedComment1.xml" ContentType="application/vnd.ms-excel.threadedcomments+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7.xml" ContentType="application/vnd.openxmlformats-officedocument.drawing+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charts/chart24.xml" ContentType="application/vnd.openxmlformats-officedocument.drawingml.chart+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8.xml" ContentType="application/vnd.openxmlformats-officedocument.drawing+xml"/>
  <Override PartName="/xl/slicers/slicer4.xml" ContentType="application/vnd.ms-excel.slicer+xml"/>
  <Override PartName="/xl/pivotTables/pivotTable14.xml" ContentType="application/vnd.openxmlformats-officedocument.spreadsheetml.pivotTable+xml"/>
  <Override PartName="/xl/drawings/drawing9.xml" ContentType="application/vnd.openxmlformats-officedocument.drawing+xml"/>
  <Override PartName="/xl/slicers/slicer5.xml" ContentType="application/vnd.ms-excel.slicer+xml"/>
  <Override PartName="/xl/tables/table1.xml" ContentType="application/vnd.openxmlformats-officedocument.spreadsheetml.table+xml"/>
  <Override PartName="/xl/pivotTables/pivotTable15.xml" ContentType="application/vnd.openxmlformats-officedocument.spreadsheetml.pivotTable+xml"/>
  <Override PartName="/xl/drawings/drawing10.xml" ContentType="application/vnd.openxmlformats-officedocument.drawing+xml"/>
  <Override PartName="/xl/slicers/slicer6.xml" ContentType="application/vnd.ms-excel.slicer+xml"/>
  <Override PartName="/xl/charts/chart25.xml" ContentType="application/vnd.openxmlformats-officedocument.drawingml.chart+xml"/>
  <Override PartName="/xl/charts/style23.xml" ContentType="application/vnd.ms-office.chartstyle+xml"/>
  <Override PartName="/xl/charts/colors23.xml" ContentType="application/vnd.ms-office.chartcolorstyle+xml"/>
  <Override PartName="/xl/pivotTables/pivotTable16.xml" ContentType="application/vnd.openxmlformats-officedocument.spreadsheetml.pivotTable+xml"/>
  <Override PartName="/xl/drawings/drawing11.xml" ContentType="application/vnd.openxmlformats-officedocument.drawing+xml"/>
  <Override PartName="/xl/charts/chart26.xml" ContentType="application/vnd.openxmlformats-officedocument.drawingml.chart+xml"/>
  <Override PartName="/xl/charts/style24.xml" ContentType="application/vnd.ms-office.chartstyle+xml"/>
  <Override PartName="/xl/charts/colors24.xml" ContentType="application/vnd.ms-office.chartcolorsty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drawings/drawing12.xml" ContentType="application/vnd.openxmlformats-officedocument.drawing+xml"/>
  <Override PartName="/xl/charts/chart27.xml" ContentType="application/vnd.openxmlformats-officedocument.drawingml.chart+xml"/>
  <Override PartName="/xl/charts/style25.xml" ContentType="application/vnd.ms-office.chartstyle+xml"/>
  <Override PartName="/xl/charts/colors25.xml" ContentType="application/vnd.ms-office.chartcolorstyle+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charts/chart30.xml" ContentType="application/vnd.openxmlformats-officedocument.drawingml.chart+xml"/>
  <Override PartName="/xl/charts/style28.xml" ContentType="application/vnd.ms-office.chartstyle+xml"/>
  <Override PartName="/xl/charts/colors28.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hidePivotFieldList="1"/>
  <mc:AlternateContent xmlns:mc="http://schemas.openxmlformats.org/markup-compatibility/2006">
    <mc:Choice Requires="x15">
      <x15ac:absPath xmlns:x15ac="http://schemas.microsoft.com/office/spreadsheetml/2010/11/ac" url="https://geminisolutionsindpvtltd-my.sharepoint.com/personal/harsh_gupta_geminisolutions_com/Documents/Dashboard/"/>
    </mc:Choice>
  </mc:AlternateContent>
  <xr:revisionPtr revIDLastSave="155" documentId="11_5635754D1E23B9427F3CCAC6195A7364FAB1D8B6" xr6:coauthVersionLast="47" xr6:coauthVersionMax="47" xr10:uidLastSave="{21D42364-D0C1-4D6B-95CE-EDF1C91D9490}"/>
  <bookViews>
    <workbookView xWindow="-108" yWindow="-108" windowWidth="23256" windowHeight="12456" firstSheet="1" activeTab="3" xr2:uid="{00000000-000D-0000-FFFF-FFFF00000000}"/>
  </bookViews>
  <sheets>
    <sheet name="Dashboard Old" sheetId="20" state="hidden" r:id="rId1"/>
    <sheet name="Dashboard" sheetId="17" r:id="rId2"/>
    <sheet name="Sheet6" sheetId="27" state="hidden" r:id="rId3"/>
    <sheet name="Tender Dashboard" sheetId="29" r:id="rId4"/>
    <sheet name="Payment Dashboard May " sheetId="28" r:id="rId5"/>
    <sheet name="Working sheet" sheetId="1" r:id="rId6"/>
    <sheet name="Observations" sheetId="5" r:id="rId7"/>
    <sheet name="Req" sheetId="15" state="hidden" r:id="rId8"/>
    <sheet name="Sheet7" sheetId="19" state="hidden" r:id="rId9"/>
    <sheet name="Testing" sheetId="23" state="hidden" r:id="rId10"/>
    <sheet name="Qualifying parameters" sheetId="3" r:id="rId11"/>
    <sheet name="Sheet10" sheetId="31" state="hidden" r:id="rId12"/>
    <sheet name="PT Pivot" sheetId="30" state="hidden" r:id="rId13"/>
    <sheet name="Payment tracking" sheetId="24" r:id="rId14"/>
    <sheet name="Sheet5" sheetId="21" state="hidden" r:id="rId15"/>
    <sheet name="Sheet4" sheetId="16" state="hidden" r:id="rId16"/>
    <sheet name="Sheet1" sheetId="6" state="hidden" r:id="rId17"/>
    <sheet name="Do not delete" sheetId="4" state="hidden" r:id="rId18"/>
    <sheet name="Sheet2" sheetId="12" state="hidden" r:id="rId19"/>
    <sheet name="Sheet3" sheetId="13" state="hidden" r:id="rId20"/>
    <sheet name="Tender Documents" sheetId="9" state="hidden" r:id="rId21"/>
    <sheet name="Validations" sheetId="2" state="hidden" r:id="rId22"/>
    <sheet name="Requirements sent to management" sheetId="7" r:id="rId23"/>
    <sheet name="Rough" sheetId="14" r:id="rId24"/>
    <sheet name="MOM" sheetId="26" state="hidden" r:id="rId25"/>
    <sheet name="US Website current tenders" sheetId="10" r:id="rId26"/>
  </sheets>
  <definedNames>
    <definedName name="_xlnm._FilterDatabase" localSheetId="5" hidden="1">'Working sheet'!$A$1:$U$38</definedName>
    <definedName name="NativeTimeline_Date_received">#N/A</definedName>
    <definedName name="Slicer_Active_Inactive">#N/A</definedName>
    <definedName name="Slicer_Active_Inactive1">#N/A</definedName>
    <definedName name="Slicer_Comments">#N/A</definedName>
    <definedName name="Slicer_Current_Stage">#N/A</definedName>
    <definedName name="Slicer_Date_received__Month_Year">#N/A</definedName>
    <definedName name="Slicer_Gemini_qualifies_Yes_No1">#N/A</definedName>
    <definedName name="Slicer_Name_of_Tendering_authority">#N/A</definedName>
    <definedName name="Slicer_Primary_reason_of_disqualification">#N/A</definedName>
    <definedName name="Slicer_Refund_status">#N/A</definedName>
    <definedName name="Slicer_Source">#N/A</definedName>
    <definedName name="Slicer_Status">#N/A</definedName>
    <definedName name="Slicer_Tenderer">#N/A</definedName>
  </definedNames>
  <calcPr calcId="191029"/>
  <pivotCaches>
    <pivotCache cacheId="11" r:id="rId27"/>
    <pivotCache cacheId="15" r:id="rId28"/>
    <pivotCache cacheId="19" r:id="rId29"/>
    <pivotCache cacheId="23" r:id="rId30"/>
    <pivotCache cacheId="29" r:id="rId31"/>
    <pivotCache cacheId="42" r:id="rId32"/>
    <pivotCache cacheId="46" r:id="rId33"/>
    <pivotCache cacheId="53" r:id="rId34"/>
  </pivotCaches>
  <extLst>
    <ext xmlns:x14="http://schemas.microsoft.com/office/spreadsheetml/2009/9/main" uri="{BBE1A952-AA13-448e-AADC-164F8A28A991}">
      <x14:slicerCaches>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7"/>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9" i="1" l="1"/>
  <c r="E48" i="1"/>
  <c r="E47" i="1"/>
  <c r="E46" i="1"/>
  <c r="E45" i="1"/>
  <c r="E44" i="1"/>
  <c r="E43" i="1"/>
  <c r="E42" i="1"/>
  <c r="E41" i="1"/>
  <c r="E40" i="1"/>
  <c r="E39" i="1"/>
  <c r="S6" i="23" l="1"/>
  <c r="H7" i="23"/>
  <c r="H12" i="23"/>
  <c r="H13" i="23"/>
  <c r="AK2" i="1"/>
  <c r="E37" i="1"/>
  <c r="E36" i="1"/>
  <c r="E38" i="1"/>
  <c r="S5" i="23"/>
  <c r="S4" i="23"/>
  <c r="S3" i="23"/>
  <c r="S2" i="23"/>
  <c r="G3" i="23"/>
  <c r="G4" i="23"/>
  <c r="G5" i="23"/>
  <c r="G6" i="23"/>
  <c r="G2" i="23"/>
  <c r="L2" i="23"/>
  <c r="J3" i="23"/>
  <c r="J4" i="23"/>
  <c r="J5" i="23"/>
  <c r="J6" i="23"/>
  <c r="J7" i="23"/>
  <c r="J8" i="23"/>
  <c r="J9" i="23"/>
  <c r="J10" i="23"/>
  <c r="J11" i="23"/>
  <c r="J12" i="23"/>
  <c r="J13" i="23"/>
  <c r="J14" i="23"/>
  <c r="J15" i="23"/>
  <c r="J16" i="23"/>
  <c r="J17" i="23"/>
  <c r="J18" i="23"/>
  <c r="J19" i="23"/>
  <c r="J20" i="23"/>
  <c r="J21" i="23"/>
  <c r="J22" i="23"/>
  <c r="J23" i="23"/>
  <c r="J24" i="23"/>
  <c r="J25" i="23"/>
  <c r="J26" i="23"/>
  <c r="J27" i="23"/>
  <c r="J28" i="23"/>
  <c r="J29" i="23"/>
  <c r="J30" i="23"/>
  <c r="J31" i="23"/>
  <c r="J32" i="23"/>
  <c r="J33" i="23"/>
  <c r="J34" i="23"/>
  <c r="J35" i="23"/>
  <c r="J36" i="23"/>
  <c r="J37" i="23"/>
  <c r="J38" i="23"/>
  <c r="J39" i="23"/>
  <c r="J40" i="23"/>
  <c r="J41" i="23"/>
  <c r="J42" i="23"/>
  <c r="J43" i="23"/>
  <c r="J44" i="23"/>
  <c r="J45" i="23"/>
  <c r="J46" i="23"/>
  <c r="J47" i="23"/>
  <c r="J48" i="23"/>
  <c r="J49" i="23"/>
  <c r="J50" i="23"/>
  <c r="J51" i="23"/>
  <c r="J52" i="23"/>
  <c r="J53" i="23"/>
  <c r="J54" i="23"/>
  <c r="J55" i="23"/>
  <c r="J56" i="23"/>
  <c r="J57" i="23"/>
  <c r="J58" i="23"/>
  <c r="J59" i="23"/>
  <c r="J60" i="23"/>
  <c r="J61" i="23"/>
  <c r="J62" i="23"/>
  <c r="J63" i="23"/>
  <c r="J64" i="23"/>
  <c r="J65" i="23"/>
  <c r="J2" i="23"/>
  <c r="J1" i="23"/>
  <c r="E35"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2" i="1"/>
  <c r="C3" i="10"/>
  <c r="C5" i="10"/>
  <c r="C6" i="10"/>
  <c r="C2" i="10"/>
  <c r="A1" i="4"/>
  <c r="L46" i="1" l="1"/>
  <c r="F46" i="1"/>
  <c r="L45" i="1"/>
  <c r="F44" i="1"/>
  <c r="F45" i="1"/>
  <c r="L44" i="1"/>
  <c r="L42" i="1"/>
  <c r="L43" i="1"/>
  <c r="F42" i="1"/>
  <c r="F43" i="1"/>
  <c r="L40" i="1"/>
  <c r="L41" i="1"/>
  <c r="F40" i="1"/>
  <c r="F41" i="1"/>
  <c r="V2" i="23"/>
  <c r="F39" i="1"/>
  <c r="G39" i="1" s="1"/>
  <c r="F2" i="1"/>
  <c r="G2" i="1" s="1"/>
  <c r="F3" i="1"/>
  <c r="G3" i="1" s="1"/>
  <c r="F4" i="1"/>
  <c r="G4" i="1" s="1"/>
  <c r="F5" i="1"/>
  <c r="G5" i="1" s="1"/>
  <c r="F6" i="1"/>
  <c r="G6" i="1" s="1"/>
  <c r="F7" i="1"/>
  <c r="G7" i="1" s="1"/>
  <c r="F8" i="1"/>
  <c r="G8" i="1" s="1"/>
  <c r="F9" i="1"/>
  <c r="G9" i="1" s="1"/>
  <c r="F10" i="1"/>
  <c r="G10" i="1" s="1"/>
  <c r="F11" i="1"/>
  <c r="G11" i="1" s="1"/>
  <c r="F12" i="1"/>
  <c r="G12" i="1" s="1"/>
  <c r="F13" i="1"/>
  <c r="G13" i="1" s="1"/>
  <c r="F14" i="1"/>
  <c r="G14" i="1" s="1"/>
  <c r="F15" i="1"/>
  <c r="G15" i="1" s="1"/>
  <c r="F16" i="1"/>
  <c r="G16" i="1" s="1"/>
  <c r="F17" i="1"/>
  <c r="G17" i="1" s="1"/>
  <c r="F18" i="1"/>
  <c r="G18" i="1" s="1"/>
  <c r="F19" i="1"/>
  <c r="G19" i="1" s="1"/>
  <c r="F20" i="1"/>
  <c r="G20" i="1" s="1"/>
  <c r="F21" i="1"/>
  <c r="G21" i="1" s="1"/>
  <c r="F22" i="1"/>
  <c r="G22" i="1" s="1"/>
  <c r="F23" i="1"/>
  <c r="G23" i="1" s="1"/>
  <c r="F24" i="1"/>
  <c r="G24" i="1" s="1"/>
  <c r="F25" i="1"/>
  <c r="G25" i="1" s="1"/>
  <c r="F26" i="1"/>
  <c r="G26" i="1" s="1"/>
  <c r="F27" i="1"/>
  <c r="G27" i="1" s="1"/>
  <c r="F28" i="1"/>
  <c r="G28" i="1" s="1"/>
  <c r="F29" i="1"/>
  <c r="G29" i="1" s="1"/>
  <c r="F30" i="1"/>
  <c r="G30" i="1" s="1"/>
  <c r="F31" i="1"/>
  <c r="G31" i="1" s="1"/>
  <c r="F32" i="1"/>
  <c r="G32" i="1" s="1"/>
  <c r="F33" i="1"/>
  <c r="G33" i="1" s="1"/>
  <c r="F34" i="1"/>
  <c r="G34" i="1" s="1"/>
  <c r="F35" i="1"/>
  <c r="G35" i="1" s="1"/>
  <c r="F36" i="1"/>
  <c r="G36" i="1" s="1"/>
  <c r="F37" i="1"/>
  <c r="G37" i="1" s="1"/>
  <c r="F38" i="1"/>
  <c r="G38" i="1" s="1"/>
  <c r="L37" i="1"/>
  <c r="L38" i="1"/>
  <c r="L39" i="1"/>
  <c r="L36" i="1"/>
  <c r="V3" i="23"/>
  <c r="V4" i="23"/>
  <c r="V5" i="23"/>
  <c r="V6" i="23"/>
  <c r="L35" i="1"/>
  <c r="L33" i="1"/>
  <c r="L34" i="1"/>
  <c r="L31" i="1"/>
  <c r="L32" i="1"/>
  <c r="L30" i="1"/>
  <c r="L29" i="1"/>
  <c r="L28" i="1"/>
  <c r="L25" i="1"/>
  <c r="L26" i="1"/>
  <c r="L27" i="1"/>
  <c r="L23" i="1"/>
  <c r="L24" i="1"/>
  <c r="L20" i="1"/>
  <c r="L21" i="1"/>
  <c r="L17" i="1"/>
  <c r="L18" i="1"/>
  <c r="L19" i="1"/>
  <c r="L22" i="1"/>
  <c r="L9" i="1"/>
  <c r="L10" i="1"/>
  <c r="L11" i="1"/>
  <c r="L12" i="1"/>
  <c r="L13" i="1"/>
  <c r="L14" i="1"/>
  <c r="L15" i="1"/>
  <c r="L16" i="1"/>
  <c r="L8" i="1"/>
  <c r="L7" i="1"/>
  <c r="L3" i="1"/>
  <c r="L4" i="1"/>
  <c r="L5" i="1"/>
  <c r="L6" i="1"/>
  <c r="L2" i="1"/>
  <c r="X2" i="23" l="1"/>
  <c r="X6" i="23"/>
  <c r="X5" i="23"/>
  <c r="X4" i="23"/>
  <c r="X3" i="23"/>
  <c r="Z3" i="23" l="1"/>
  <c r="Z4" i="23"/>
  <c r="Z5" i="23"/>
  <c r="Z6" i="23"/>
  <c r="Z2" i="23"/>
  <c r="AB6" i="23" l="1"/>
  <c r="I6" i="23" s="1"/>
  <c r="AB5" i="23"/>
  <c r="I5" i="23" s="1"/>
  <c r="AB4" i="23"/>
  <c r="AB3" i="23"/>
  <c r="AB2" i="23"/>
  <c r="AD3" i="23" l="1"/>
  <c r="I3" i="23" s="1"/>
  <c r="AD4" i="23"/>
  <c r="I4" i="23" s="1"/>
  <c r="AD5" i="23"/>
  <c r="H5" i="23" s="1"/>
  <c r="AD6" i="23"/>
  <c r="H6" i="23" s="1"/>
  <c r="AD2" i="23"/>
  <c r="H2" i="23" s="1"/>
  <c r="I2" i="23" l="1"/>
  <c r="H4" i="23"/>
  <c r="H3"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tc={C07DFB62-9E54-438C-ACD0-53D84C85DE5C}</author>
    <author>tc={43C2ADA0-09B9-4FE8-8882-3C29FC1FA143}</author>
    <author>tc={53FC3E9B-7FDD-4B50-8896-941D5B2C6340}</author>
    <author>tc={12E423D7-5511-43DB-A8D5-5C6D000BCF9C}</author>
    <author>tc={FE67801A-5C9F-415F-95E0-62805F2631F6}</author>
    <author>tc={4AFF21D5-7441-4A30-9D38-ECDB912C08E7}</author>
    <author>tc={709D71FD-29CB-4FC2-BBEA-0C6E0962691F}</author>
    <author>tc={CF9FC839-29BC-4B17-BF0D-4DA6197E48EC}</author>
    <author>tc={61A8F70A-742C-4707-8D09-86363C342FA3}</author>
    <author>tc={09A7B4B1-2E23-4264-8435-531B09D1F27B}</author>
    <author>tc={1FD96B67-8EFB-4DD9-88B7-D3576245B593}</author>
    <author>tc={6BD7D388-AE3F-4103-A4D3-2B4E46B036D3}</author>
    <author>tc={CB7909FB-196A-40BB-BAF7-C9EC35DC0323}</author>
    <author>tc={EEB78F55-58EE-4C7E-B7E8-0F0B50D76309}</author>
    <author>tc={FAD76039-E274-4F15-8582-BB81B46DC18C}</author>
    <author>tc={FBBE18E3-F40B-44D5-B064-594796161472}</author>
    <author>tc={55A6C1D2-43F4-453C-B9A4-320BA66A663E}</author>
    <author>tc={C2CA10F0-614C-44A0-86DE-8CBF322A610E}</author>
    <author>tc={1D8FE2FE-4AA8-4503-8488-17E904F2CF04}</author>
    <author>tc={3D3A69D9-AE35-4ABF-8B09-29A8F5AAD746}</author>
    <author>tc={EBBCCADC-7540-42B5-B695-F9FDCA3F0F15}</author>
    <author>tc={CBD226DA-0378-4803-B377-EE8DD7555F15}</author>
    <author>tc={441A54DA-C9C3-4C66-AB54-A7947A33DA88}</author>
    <author>tc={3BE4BF8F-8781-43F4-801B-EA7D499E0341}</author>
    <author>tc={F6AB8827-26DE-460F-9B5F-E203B7CE59E4}</author>
    <author>tc={12C9D8CE-FF92-4C7A-8E07-B7E00E87AAD8}</author>
    <author>tc={78F7388C-9C5F-4229-94CF-B5EE0F350834}</author>
  </authors>
  <commentList>
    <comment ref="C1" authorId="0" shapeId="0" xr:uid="{00000000-0006-0000-0500-000001000000}">
      <text>
        <t>[Threaded comment]
Your version of Excel allows you to read this threaded comment; however, any edits to it will get removed if the file is opened in a newer version of Excel. Learn more: https://go.microsoft.com/fwlink/?linkid=870924
Comment:
    Active status tells that we are currently working on the tender. Inactive is otherwise.</t>
      </text>
    </comment>
    <comment ref="M2" authorId="1" shapeId="0" xr:uid="{00000000-0006-0000-0500-000002000000}">
      <text>
        <t xml:space="preserve">[Threaded comment]
Your version of Excel allows you to read this threaded comment; however, any edits to it will get removed if the file is opened in a newer version of Excel. Learn more: https://go.microsoft.com/fwlink/?linkid=870924
Comment:
    14/09: Emailed for further information
Reply:
    Received on 16/09
Reply:
    Mailed for management view on  not qualifying criterias on 21st
</t>
      </text>
    </comment>
    <comment ref="M3" authorId="2" shapeId="0" xr:uid="{00000000-0006-0000-0500-000003000000}">
      <text>
        <t>[Threaded comment]
Your version of Excel allows you to read this threaded comment; however, any edits to it will get removed if the file is opened in a newer version of Excel. Learn more: https://go.microsoft.com/fwlink/?linkid=870924
Comment:
    14/19: Sent mail-Hardware related requirements.
-Need more information, pls provide the pdfs for eligibility criteria details.
Reply:
    All hardware requirements noted, site preparation, installation etc.</t>
      </text>
    </comment>
    <comment ref="M9" authorId="3" shapeId="0" xr:uid="{00000000-0006-0000-0500-000004000000}">
      <text>
        <t xml:space="preserve">[Threaded comment]
Your version of Excel allows you to read this threaded comment; however, any edits to it will get removed if the file is opened in a newer version of Excel. Learn more: https://go.microsoft.com/fwlink/?linkid=870924
Comment:
    Not able to open the tender details link
Reply:
    Emailed Aman sir today as not able to locate the tender
Reply:
    Reminders sent, last one on 4/10. Meeting scheduled on 7/10 to discuss further.
Reply:
    No documents uploaded on web-confirmed by Aman sir
</t>
      </text>
    </comment>
    <comment ref="M11" authorId="4" shapeId="0" xr:uid="{00000000-0006-0000-0500-000005000000}">
      <text>
        <t>[Threaded comment]
Your version of Excel allows you to read this threaded comment; however, any edits to it will get removed if the file is opened in a newer version of Excel. Learn more: https://go.microsoft.com/fwlink/?linkid=870924
Comment:
    email sent on 12/10 to management to know qualification status
Reply:
    No response received</t>
      </text>
    </comment>
    <comment ref="M12" authorId="5" shapeId="0" xr:uid="{00000000-0006-0000-0500-000006000000}">
      <text>
        <t>[Threaded comment]
Your version of Excel allows you to read this threaded comment; however, any edits to it will get removed if the file is opened in a newer version of Excel. Learn more: https://go.microsoft.com/fwlink/?linkid=870924
Comment:
    email sent on 12/10 to management to know qualification status</t>
      </text>
    </comment>
    <comment ref="M13" authorId="6" shapeId="0" xr:uid="{00000000-0006-0000-0500-000007000000}">
      <text>
        <t>[Threaded comment]
Your version of Excel allows you to read this threaded comment; however, any edits to it will get removed if the file is opened in a newer version of Excel. Learn more: https://go.microsoft.com/fwlink/?linkid=870924
Comment:
    email sent on 12/10 to management to know qualification status
Reply:
    No response received</t>
      </text>
    </comment>
    <comment ref="M14" authorId="7" shapeId="0" xr:uid="{00000000-0006-0000-0500-000008000000}">
      <text>
        <t>[Threaded comment]
Your version of Excel allows you to read this threaded comment; however, any edits to it will get removed if the file is opened in a newer version of Excel. Learn more: https://go.microsoft.com/fwlink/?linkid=870924
Comment:
    email sent on 12/10 to management to know qualification status</t>
      </text>
    </comment>
    <comment ref="M15" authorId="8" shapeId="0" xr:uid="{00000000-0006-0000-0500-000009000000}">
      <text>
        <t>[Threaded comment]
Your version of Excel allows you to read this threaded comment; however, any edits to it will get removed if the file is opened in a newer version of Excel. Learn more: https://go.microsoft.com/fwlink/?linkid=870924
Comment:
    email sent on 12/10 to management to know qualification status
Reply:
    No response received</t>
      </text>
    </comment>
    <comment ref="M16" authorId="9" shapeId="0" xr:uid="{00000000-0006-0000-0500-00000A000000}">
      <text>
        <t>[Threaded comment]
Your version of Excel allows you to read this threaded comment; however, any edits to it will get removed if the file is opened in a newer version of Excel. Learn more: https://go.microsoft.com/fwlink/?linkid=870924
Comment:
    email sent on 12/10 to management to know qualification status
Reply:
    No response received</t>
      </text>
    </comment>
    <comment ref="M17" authorId="10" shapeId="0" xr:uid="{00000000-0006-0000-0500-00000B000000}">
      <text>
        <t>[Threaded comment]
Your version of Excel allows you to read this threaded comment; however, any edits to it will get removed if the file is opened in a newer version of Excel. Learn more: https://go.microsoft.com/fwlink/?linkid=870924
Comment:
    Sent for management advise on 20/10
Reply:
    No response received fro mngmt, closing the lead.</t>
      </text>
    </comment>
    <comment ref="M18" authorId="11" shapeId="0" xr:uid="{00000000-0006-0000-0500-00000C000000}">
      <text>
        <t>[Threaded comment]
Your version of Excel allows you to read this threaded comment; however, any edits to it will get removed if the file is opened in a newer version of Excel. Learn more: https://go.microsoft.com/fwlink/?linkid=870924
Comment:
    Sent for management advise on 20/10
Reply:
    AP advised this tender can be ignored</t>
      </text>
    </comment>
    <comment ref="M21" authorId="12" shapeId="0" xr:uid="{00000000-0006-0000-0500-00000D000000}">
      <text>
        <t>[Threaded comment]
Your version of Excel allows you to read this threaded comment; however, any edits to it will get removed if the file is opened in a newer version of Excel. Learn more: https://go.microsoft.com/fwlink/?linkid=870924
Comment:
    Received response from Vishal Malik that we don have any child company through which we can waive CMMI3.</t>
      </text>
    </comment>
    <comment ref="M22" authorId="13" shapeId="0" xr:uid="{00000000-0006-0000-0500-00000E000000}">
      <text>
        <t>[Threaded comment]
Your version of Excel allows you to read this threaded comment; however, any edits to it will get removed if the file is opened in a newer version of Excel. Learn more: https://go.microsoft.com/fwlink/?linkid=870924
Comment:
    Response from NY that we dont work on this tech
Reply:
    Also got a calll for demo, however, we dont have this tech.</t>
      </text>
    </comment>
    <comment ref="C23" authorId="14" shapeId="0" xr:uid="{00000000-0006-0000-0500-00000F000000}">
      <text>
        <t>[Threaded comment]
Your version of Excel allows you to read this threaded comment; however, any edits to it will get removed if the file is opened in a newer version of Excel. Learn more: https://go.microsoft.com/fwlink/?linkid=870924
Comment:
    filed on 9/12
Reply:
    2 queries received till now</t>
      </text>
    </comment>
    <comment ref="J23" authorId="15" shapeId="0" xr:uid="{00000000-0006-0000-0500-000010000000}">
      <text>
        <t>[Threaded comment]
Your version of Excel allows you to read this threaded comment; however, any edits to it will get removed if the file is opened in a newer version of Excel. Learn more: https://go.microsoft.com/fwlink/?linkid=870924
Comment:
    We are going ahead with this tender, filing process initiated.
Reply:
    Last date of submission was 9/12; On 9/12 corrigendum was issued that last date of submission is 16/12 now.
Reply:
    Called epil, SPOC confirmed that they will email/upload shortlisting information on their website.
Reply:
    Requirement raised by EPI to be given by 31/12</t>
      </text>
    </comment>
    <comment ref="J24" authorId="16" shapeId="0" xr:uid="{00000000-0006-0000-0500-000011000000}">
      <text>
        <t>[Threaded comment]
Your version of Excel allows you to read this threaded comment; however, any edits to it will get removed if the file is opened in a newer version of Excel. Learn more: https://go.microsoft.com/fwlink/?linkid=870924
Comment:
    aman sir to respond on its docs, msgd him on 22/11
Reply:
    Reminder sent twice, no response</t>
      </text>
    </comment>
    <comment ref="C25" authorId="17" shapeId="0" xr:uid="{00000000-0006-0000-0500-000012000000}">
      <text>
        <t>[Threaded comment]
Your version of Excel allows you to read this threaded comment; however, any edits to it will get removed if the file is opened in a newer version of Excel. Learn more: https://go.microsoft.com/fwlink/?linkid=870924
Comment:
    filed on 21/12
Reply:
    One query received responded back on 04/01</t>
      </text>
    </comment>
    <comment ref="J25" authorId="18" shapeId="0" xr:uid="{00000000-0006-0000-0500-000013000000}">
      <text>
        <t>[Threaded comment]
Your version of Excel allows you to read this threaded comment; however, any edits to it will get removed if the file is opened in a newer version of Excel. Learn more: https://go.microsoft.com/fwlink/?linkid=870924
Comment:
    Pre-bid meeting to be attended by sunil/aman sir @Mohali
Reply:
    on 01/12
Reply:
    Cut-off date and time for bid submission: 22.12.2022 at 03:00 PM Date and time for bid opening: 23.12.2022 at 11:00 AM
Reply:
    2 rounds cleared</t>
      </text>
    </comment>
    <comment ref="J26" authorId="19" shapeId="0" xr:uid="{00000000-0006-0000-0500-000014000000}">
      <text>
        <t xml:space="preserve">[Threaded comment]
Your version of Excel allows you to read this threaded comment; however, any edits to it will get removed if the file is opened in a newer version of Excel. Learn more: https://go.microsoft.com/fwlink/?linkid=870924
Comment:
    No response received on waiver from UCO bank </t>
      </text>
    </comment>
    <comment ref="J27" authorId="20" shapeId="0" xr:uid="{00000000-0006-0000-0500-000015000000}">
      <text>
        <t>[Threaded comment]
Your version of Excel allows you to read this threaded comment; however, any edits to it will get removed if the file is opened in a newer version of Excel. Learn more: https://go.microsoft.com/fwlink/?linkid=870924
Comment:
    Very less days for final submission hence, not pursued.</t>
      </text>
    </comment>
    <comment ref="C30" authorId="21" shapeId="0" xr:uid="{00000000-0006-0000-0500-000016000000}">
      <text>
        <t>[Threaded comment]
Your version of Excel allows you to read this threaded comment; however, any edits to it will get removed if the file is opened in a newer version of Excel. Learn more: https://go.microsoft.com/fwlink/?linkid=870924
Comment:
    on 5/01/23
Reply:
    Tender is cancelled and EMD is refunded to our accounts.</t>
      </text>
    </comment>
    <comment ref="J30" authorId="22" shapeId="0" xr:uid="{00000000-0006-0000-0500-000017000000}">
      <text>
        <t>[Threaded comment]
Your version of Excel allows you to read this threaded comment; however, any edits to it will get removed if the file is opened in a newer version of Excel. Learn more: https://go.microsoft.com/fwlink/?linkid=870924
Comment:
    Sunil visited for pre-bid meet, they will issue corrigendum by EOM.
Reply:
    Corrigendum issued. CMMI waived. 
Reply:
    Mailed EC-Arch for confirmation on Tech feasibility</t>
      </text>
    </comment>
    <comment ref="J31" authorId="23" shapeId="0" xr:uid="{00000000-0006-0000-0500-000018000000}">
      <text>
        <t>[Threaded comment]
Your version of Excel allows you to read this threaded comment; however, any edits to it will get removed if the file is opened in a newer version of Excel. Learn more: https://go.microsoft.com/fwlink/?linkid=870924
Comment:
    Informed Sunil that no corrigendum issued on our query of location being manadatory factor for qualifying hence, closing this from further processing.</t>
      </text>
    </comment>
    <comment ref="J32" authorId="24" shapeId="0" xr:uid="{00000000-0006-0000-0500-000019000000}">
      <text>
        <t>[Threaded comment]
Your version of Excel allows you to read this threaded comment; however, any edits to it will get removed if the file is opened in a newer version of Excel. Learn more: https://go.microsoft.com/fwlink/?linkid=870924
Comment:
    AP questioned about project size, email EC-arch for clarification
Reply:
    Reminder sent to EC on 04/01
Reply:
    nt able to arrange 2 completion cert as clients not cooperating</t>
      </text>
    </comment>
    <comment ref="J33" authorId="25" shapeId="0" xr:uid="{00000000-0006-0000-0500-00001A000000}">
      <text>
        <t>[Threaded comment]
Your version of Excel allows you to read this threaded comment; however, any edits to it will get removed if the file is opened in a newer version of Excel. Learn more: https://go.microsoft.com/fwlink/?linkid=870924
Comment:
    Query regarding location is sent to the auth contact
Reply:
    Mailed mngmt
Reply:
    no response received.</t>
      </text>
    </comment>
    <comment ref="J34" authorId="26" shapeId="0" xr:uid="{00000000-0006-0000-0500-00001B000000}">
      <text>
        <t>[Threaded comment]
Your version of Excel allows you to read this threaded comment; however, any edits to it will get removed if the file is opened in a newer version of Excel. Learn more: https://go.microsoft.com/fwlink/?linkid=870924
Comment:
    No response from EC-ARch</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tc={55798312-A193-4B24-9995-1ECE1D5EB770}</author>
    <author>tc={3A07243A-1404-4411-B16F-9D0733E1CA2A}</author>
  </authors>
  <commentList>
    <comment ref="D31" authorId="0" shapeId="0" xr:uid="{00000000-0006-0000-1600-000001000000}">
      <text>
        <t>[Threaded comment]
Your version of Excel allows you to read this threaded comment; however, any edits to it will get removed if the file is opened in a newer version of Excel. Learn more: https://go.microsoft.com/fwlink/?linkid=870924
Comment:
    Given our questions - they have asked for time to reconvene internally and will again schedule the Pre-bid call , in later part of December.....msg by Sunil</t>
      </text>
    </comment>
    <comment ref="D35" authorId="1" shapeId="0" xr:uid="{00000000-0006-0000-1600-000002000000}">
      <text>
        <t>[Threaded comment]
Your version of Excel allows you to read this threaded comment; however, any edits to it will get removed if the file is opened in a newer version of Excel. Learn more: https://go.microsoft.com/fwlink/?linkid=870924
Comment:
    Not sent to managmeent as tech feasibility was not known, no response received on the same though.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tc={2C3E1419-70CC-4E23-902D-745BDA9B489D}</author>
  </authors>
  <commentList>
    <comment ref="H6" authorId="0" shapeId="0" xr:uid="{00000000-0006-0000-1900-000001000000}">
      <text>
        <t>[Threaded comment]
Your version of Excel allows you to read this threaded comment; however, any edits to it will get removed if the file is opened in a newer version of Excel. Learn more: https://go.microsoft.com/fwlink/?linkid=870924
Comment:
Contract for 1 year(extendable to 2 one-year periods)</t>
      </text>
    </comment>
  </commentList>
</comments>
</file>

<file path=xl/sharedStrings.xml><?xml version="1.0" encoding="utf-8"?>
<sst xmlns="http://schemas.openxmlformats.org/spreadsheetml/2006/main" count="1491" uniqueCount="726">
  <si>
    <t>2023_HBC_252437_1</t>
  </si>
  <si>
    <t>.</t>
  </si>
  <si>
    <t>Final Status</t>
  </si>
  <si>
    <t>Tenderers</t>
  </si>
  <si>
    <t>Active</t>
  </si>
  <si>
    <t>Filed and Refund Received</t>
  </si>
  <si>
    <t>Filed and Selected</t>
  </si>
  <si>
    <t>DGR</t>
  </si>
  <si>
    <t>Financial bid considered. We scored 55 marks as per DGR during tech evaluation. Rejected on basis of total score.</t>
  </si>
  <si>
    <t>HARTRON</t>
  </si>
  <si>
    <t>Filed and selected.</t>
  </si>
  <si>
    <t>ICMR</t>
  </si>
  <si>
    <t>Grand Total</t>
  </si>
  <si>
    <t>Case ID</t>
  </si>
  <si>
    <t>Tender ID</t>
  </si>
  <si>
    <t>Active/Inactive</t>
  </si>
  <si>
    <t>Date received</t>
  </si>
  <si>
    <t>Date received (Month/Year)</t>
  </si>
  <si>
    <t>Days from today</t>
  </si>
  <si>
    <t>Last 30 days</t>
  </si>
  <si>
    <t>Source</t>
  </si>
  <si>
    <t>Acronym</t>
  </si>
  <si>
    <t>Name of Tendering authority</t>
  </si>
  <si>
    <t>Closing date</t>
  </si>
  <si>
    <t>Days left</t>
  </si>
  <si>
    <t>Current status</t>
  </si>
  <si>
    <t>Technical go ahead received</t>
  </si>
  <si>
    <t>Final status</t>
  </si>
  <si>
    <t>Primary reason of disqualification</t>
  </si>
  <si>
    <t>Requirements not met for qualification</t>
  </si>
  <si>
    <t>Management view</t>
  </si>
  <si>
    <t>Requirements</t>
  </si>
  <si>
    <t>Relevant links</t>
  </si>
  <si>
    <t>Comments</t>
  </si>
  <si>
    <t>Inactive</t>
  </si>
  <si>
    <t>Tender Tiger</t>
  </si>
  <si>
    <t>Punjab National Bank</t>
  </si>
  <si>
    <t>Not pursued</t>
  </si>
  <si>
    <t>Closing date &lt;15 days, not feasible to continue.</t>
  </si>
  <si>
    <t>Experience in banking services Central / State Govt Organization / PSU / Public Listed Company</t>
  </si>
  <si>
    <t>3 years of experience required in same/similar banking domain. Not having 'Finacle 10' experience of banking domain, Do not cater infrastructure, hardware administration and maintainence.
The bidder needs to consider, envisage and provide all deliverables, activities
and services that would be required for overall management, smooth
operations, support, troubleshooting, maintenance and administration of entire
Infrastructure and Core Banking Solution ‘Finacle 10’ and its associated
applications for PNB, its sponsored RRBs, its Overseas entities at DC, DR,
Near DR and any other site of the Bank on 24 x 7 x 365 basis. In addition,
bidder will be required to provide troubleshooting and support for smooth
functioning of digital Banking Channels an</t>
  </si>
  <si>
    <t>Not feasible</t>
  </si>
  <si>
    <t>https://geminisolutionsindpvtltd-my.sharepoint.com/:b:/g/personal/aman_kbansal_geminisolutions_com/EZfssG35Eh5KmYYVxbqpCMoBXmfeHVZSprvbjC7_hIC-FQ?e=xFa1te</t>
  </si>
  <si>
    <t>Indian Institute Of Technology</t>
  </si>
  <si>
    <t>Hardware installation required</t>
  </si>
  <si>
    <t>The scope of the work will include1.Detailed design and site preparation of the Data Centre involving civil, electrical, and mechanical work including dismantling, false ceiling, raised flooring, moisture sealing, fortification of windows and all other necessary components.2.Supply, installation and commissioning of basic infrastructure, UPS, air conditioning, fire prevention and detection systems, lighting, access control and surveillance systems, rodent control system, BMS and Data Centre integrated management system (DCIM) and internal and external illumination. 3.Supply, installation and commissioning ofracks with RDHxand iPDUs4.On-site maintenance of the Data Centre for at least 5 years5.On-site operations and support by qualified engineers on a 24 × 365 basis for at least 5 years to ensure at least 99.98% service availability.</t>
  </si>
  <si>
    <t>https://geminisolutionsindpvtltd-my.sharepoint.com/:w:/g/personal/aman_kbansal_geminisolutions_com/EQS60yGoHgdGro1hJ6Dw0PQBK3GNx3BWZCTBrMNMCG66jg?e=RNgi7g</t>
  </si>
  <si>
    <t>Madhusudan Law University</t>
  </si>
  <si>
    <t>Not experienced in Govt/PSU projects</t>
  </si>
  <si>
    <t>Must have worked in PSU/Odisha state govt. projects</t>
  </si>
  <si>
    <t>NA</t>
  </si>
  <si>
    <t>https://geminisolutionsindpvtltd-my.sharepoint.com/:w:/g/personal/aman_kbansal_geminisolutions_com/EeIWkOnw-95HoHZG3Q1Us6IB5FBHI6J1RzWb0-UCEqnyMw?e=bgOI7T</t>
  </si>
  <si>
    <t>PSB Alliance Private Limited</t>
  </si>
  <si>
    <t>Do not qualify</t>
  </si>
  <si>
    <t xml:space="preserve">Not empanelled under CERT -IN </t>
  </si>
  <si>
    <t>The  Bidder  should  have  provided  consultancy  for vendor selection for procurement of IT infrastructure and   applications   including   project   management, implementation    and    support    in    at    least    one Scheduled  Commercial  Bank in  India  with  1500+ branches.*Ongoingengagements will be considered
The     bidder     should     be CERT-IN     empaneled organization</t>
  </si>
  <si>
    <t>https://geminisolutionsindpvtltd-my.sharepoint.com/:b:/g/personal/aman_kbansal_geminisolutions_com/EZZkShRFnOhPi0GQV05x8AcBEpsq9BWCMHko0oX3KZDp7w?e=ODOD1U</t>
  </si>
  <si>
    <t>Securities And Exchange Board Of India</t>
  </si>
  <si>
    <t>Web Intelligence tool procurement/intallation</t>
  </si>
  <si>
    <t>a. The bidder should have
authorization from the OEM to
supply, install and support the
proposed Web Intelligence
Tool.
b. Proposed Web Intelligence
Tool should be in use (live) by
at least 10 national or
international entities as on
date of EOI.</t>
  </si>
  <si>
    <t>https://geminisolutionsindpvtltd-my.sharepoint.com/:i:/g/personal/aman_kbansal_geminisolutions_com/EX-8NFPzxCpBlFuWT7DAHHcBNL_adAlkw5h5Wh1N24fN1A?e=T65or0</t>
  </si>
  <si>
    <t>Experience in working for Central / State Govt Organization / PSU / Public Listed Company</t>
  </si>
  <si>
    <t xml:space="preserve">1. OEM authorized to supply, install and support the proposed Web Intelligence Tool. This tool should be in use by at least 10 national or international entities as on date of EOI.
2. Experience in implementing, installing and maintaining tools (such as AI based tools, digital forensic tools, visualisation tools etc.) over the last seven years
</t>
  </si>
  <si>
    <t>Institute Of Microbial Technology</t>
  </si>
  <si>
    <t xml:space="preserve">1. The bidder should have ISO 9001 and CMM3
    or higher certifications.
2. The bidder shall submit the PO/work
    completion certificates, of earlier websites
    developed by them for CPSUs/ Central
    Government/State Government/Public Sector
    organizations/Autonomous Bodies/ Statutory 
    Bodies/University. 
</t>
  </si>
  <si>
    <t>https://geminisolutionsindpvtltd-my.sharepoint.com/:i:/g/personal/aman_kbansal_geminisolutions_com/EfgA8hC9_UlGqUDpYs3pxlsB-j7ebk59FylzLlvhb20_1g?e=sZFXqq</t>
  </si>
  <si>
    <t>Maharaja Agrasen Medical College</t>
  </si>
  <si>
    <t>No response received from management</t>
  </si>
  <si>
    <t>https://geminisolutionsindpvtltd-my.sharepoint.com/:i:/g/personal/aman_kbansal_geminisolutions_com/EXtzHvpFwEBCm0-wdKMLFu8Bwnp9lrmWnndoIYcjqxb0fQ?e=ApTh5s</t>
  </si>
  <si>
    <t>Jorhat Medical College and Hospital-HFWD</t>
  </si>
  <si>
    <t xml:space="preserve">1. Experience in supply and installation of UTMs with equivalent or higher of quoted value of the quoted item by a single order in Govt. Dept/PSU/Autonomous Bodies/University in last three years as on date.
2. Experience in supply and installation of (Unified Threat Management)UTMs with equivalent or higher of quoted value of the quoted item by a single order in Govt. Dept/PSU/Autonomous Bodies/University in last three years as on date.
3. Bidder must have a registered office with service centre in Northeast.
</t>
  </si>
  <si>
    <t>https://geminisolutionsindpvtltd-my.sharepoint.com/:u:/g/personal/aman_kbansal_geminisolutions_com/EeZFpuOZtBlAnn5vd402WesBRMtVz3JuVw7PFQQ_wo0uPQ?e=Do5LIG</t>
  </si>
  <si>
    <t>MHA</t>
  </si>
  <si>
    <t>https://www.tendertiger.com/viewtenderdetailnd.aspx?sbno=248321&amp;sbencp=2da274524314dc13d&amp;SrN=55954959&amp;encp=f5ab381029563460a&amp;fav=1&amp;MailTrackId=25839963&amp;MailTrackEncp=48c8ed688c85890ee</t>
  </si>
  <si>
    <t>Ministry of Defence - Website Application Security Platform Software</t>
  </si>
  <si>
    <t>https://www.tendertiger.com/viewtenderdetailnd.aspx?sbno=248321&amp;sbencp=2da274524314dc13d&amp;SrN=55954182&amp;encp=d315f910878c91096&amp;fav=1&amp;MailTrackId=25839963&amp;MailTrackEncp=48c8ed688c85890ee</t>
  </si>
  <si>
    <t>BHU</t>
  </si>
  <si>
    <t>Experience in providing similar services to Universities</t>
  </si>
  <si>
    <t>https://www.tendertiger.com/viewtenderdetailnd.aspx?sbno=248321&amp;sbencp=2da274524314dc13d&amp;SrN=55953624&amp;encp=009e8243291a7539b&amp;fav=1&amp;MailTrackId=25839963&amp;MailTrackEncp=48c8ed688c85890ee</t>
  </si>
  <si>
    <t>OIL India LIMITED</t>
  </si>
  <si>
    <t>Hiring services for design development hosting and maintenance of a webbased application system of 3tier architecture for online collection of application forms with a registration mechanism and provision for generation of v .. Qty -</t>
  </si>
  <si>
    <t>https://www.tendertiger.com/viewtenderdetailnd.aspx?sbno=248321&amp;sbencp=2da274524314dc13d&amp;SrN=55952751&amp;encp=1866c180902333f79&amp;fav=1&amp;MailTrackId=25839963&amp;MailTrackEncp=48c8ed688c85890ee</t>
  </si>
  <si>
    <t>Hindustan Petroleum Corporation Limited</t>
  </si>
  <si>
    <t>experience in providing BBPS  BHARAT BILL PAYMENT (BBPS) AND CREDIT
FACILITIES (BNPL) services</t>
  </si>
  <si>
    <t>Providing of bharat bill payment (bbps) and credit facilities (bnpl) on mobile payment app (hp pay).</t>
  </si>
  <si>
    <t>https://tenders.hpcl.co.in/tenders/tender_prog/Tenders_details.asp?id=113338</t>
  </si>
  <si>
    <t xml:space="preserve">Rajcomp </t>
  </si>
  <si>
    <t xml:space="preserve"> Rfp for selection of technology partner for rajasthan integrated tax management system</t>
  </si>
  <si>
    <t>https://www.tendertiger.com/viewtenderdetailnd.aspx?sbno=248321&amp;sbencp=2da274524314dc13d&amp;SrN=55276770&amp;encp=4bf6136af6f17476b&amp;fav=1&amp;MailTrackId=25822499&amp;MailTrackEncp=4ea480c819eda4aba</t>
  </si>
  <si>
    <t xml:space="preserve"> Rajcomp</t>
  </si>
  <si>
    <t>Experience in AI/ML based Voicebot or Chatbot implementation</t>
  </si>
  <si>
    <t>Rajcomp-Rfp for ai and ml based voicebot and chatbot platform and its integration with rajasthan government citizen centric software applications.</t>
  </si>
  <si>
    <t>https://www.tendertiger.com/viewtenderdetailnd.aspx?sbno=248321&amp;sbencp=2da274524314dc13d&amp;SrN=55952958&amp;encp=2959155bca0ad4b02&amp;fav=1&amp;MailTrackId=25839963&amp;MailTrackEncp=48c8ed688c85890ee</t>
  </si>
  <si>
    <t>Institute For Plasma Research</t>
  </si>
  <si>
    <t>Programmable logic controller</t>
  </si>
  <si>
    <t>Supply of programmable logic controller, programming software along with required accessories at institute for plasma research, gandhinagar</t>
  </si>
  <si>
    <t>https://www.tendertiger.com/viewtenderdetailnd.aspx?sbno=248321&amp;sbencp=2da274524314dc13d&amp;SrN=56155420&amp;encp=062e73a033caacf10&amp;fav=1&amp;MailTrackId=25927714&amp;MailTrackEncp=e7d4433e65231711f</t>
  </si>
  <si>
    <t>IIM-Raipur</t>
  </si>
  <si>
    <t>CMMI-3</t>
  </si>
  <si>
    <t xml:space="preserve">	Redesigning, development and software maintenance service of iim raipur website</t>
  </si>
  <si>
    <t>Companies Act.
ii. Avg. Annual Turn Over of firm for the last three FYs should be Rs.25 lakhs or more.
iii. The bidder must be registered under GST Registration.
iv. Undertaking on letter head as per Annexure “C”.
v. Tender Fee of Rs.590/- and EMD of Rs. 18,000/- in form of Demand Draft in Favor of
Indian Institute of Management Raipur payable at Raipur
vi. Compliance to min. required technical details / Specification in Scope of Work Technical
Bid /Scope of Work as “Annexure-A”.
vii. The bidder must have experience for providing similar web development services to
IIM/IIT with successful completion report / performance certificate.
viii.The bidder must have minimum ISO 9001, ISO 27001 and ISO 20001 certificate.
ix. The bidder must have minimum CMMI-3 (Capability Maturity Model Integration) level of
certification.
As per Govt. of India notification relaxation may be given to MSME / NSIC
service provider (Original service provider/ manufacturer/ OEM etc.) in
experience and turn over criteria, not applicable for trader.</t>
  </si>
  <si>
    <t>https://www.tendertiger.com/viewtenderdetailnd.aspx?sbno=248321&amp;sbencp=2da274524314dc13d&amp;SrN=56573447&amp;encp=445ffe4d0745cd8ec&amp;fav=1&amp;MailTrackId=26118337&amp;MailTrackEncp=5c64974494b49f7b6</t>
  </si>
  <si>
    <t>Dept. of Land Records</t>
  </si>
  <si>
    <t>Dev of api portal &amp; allied services</t>
  </si>
  <si>
    <t xml:space="preserve">
Information And Public Relation Department</t>
  </si>
  <si>
    <t>Selection of Software development agency for maintenance &amp; up-gradation of e-advertisement IT solution for information &amp; public relation department .</t>
  </si>
  <si>
    <t>The Bidder Should have experienced of at least 2 Turn key projects of 2Cr each IT projects (Involving
Datacenter /Server Hardware Installation, Software Development &amp; Maintenance etc.) for
Government/PSU in the last 5 years.
G. Experience in Application Development: The Bidder should have experienced of two ICT/e-Governance
projects for Government/PSU (Involving Application Software Development Customization,
implementation, Software Maintenance etc.) with a project value of Rs. 2 crore or above. in the last 5 years.</t>
  </si>
  <si>
    <t>https://www.tendertiger.com/viewtenderdetailnd.aspx?sbno=248321&amp;sbencp=2da274524314dc13d&amp;SrN=56710270&amp;encp=e8e9c759283ddb6e5&amp;fav=1&amp;MailTrackId=26187163&amp;MailTrackEncp=61cde681ebacc0cbb</t>
  </si>
  <si>
    <t>Department Of Police-Kerala- Develop, revamp website</t>
  </si>
  <si>
    <t>We do not work on PHP-Laravel technology</t>
  </si>
  <si>
    <t>Asked for waiver for experience, contact person mentioned that we will consider you if no other company is having this experience.</t>
  </si>
  <si>
    <t>https://www.tendertiger.com/viewtenderdetailnd.aspx?sbno=248321&amp;sbencp=2da274524314dc13d&amp;SrN=56906707&amp;encp=11c64ed2802d22c2c&amp;fav=1&amp;MailTrackId=26273072&amp;MailTrackEncp=158ff811ee2d25553</t>
  </si>
  <si>
    <t>2022_EPIL_686724_1</t>
  </si>
  <si>
    <t>Filed, result awaited</t>
  </si>
  <si>
    <t>EPI</t>
  </si>
  <si>
    <t>Engineering Projects (India) Limited</t>
  </si>
  <si>
    <t>Query responded</t>
  </si>
  <si>
    <t>Filed</t>
  </si>
  <si>
    <t>https://www.tendertiger.com/viewtenderdetailnd.aspx?sbno=248321&amp;sbencp=2da274524314dc13d&amp;SrN=57107731&amp;encp=91966f19079f0bf0d&amp;fav=1&amp;MailTrackId=26376266&amp;MailTrackEncp=a513fcdfac692e59d</t>
  </si>
  <si>
    <t>We had received 2 queries both responded back.</t>
  </si>
  <si>
    <t>Metro rail corporation</t>
  </si>
  <si>
    <t>Evidence not provided-Deadline cannot be met</t>
  </si>
  <si>
    <t>Modification  and Upgradation  of  existing  Oracle  ERP Application &amp; Databaseon Oracle Cloud Infrastructure including Support &amp; Defect Liability Period(DLP) for Mumbai Metro Line 3 at MMRCL.</t>
  </si>
  <si>
    <t>2022_GR_92674_1</t>
  </si>
  <si>
    <t>Anti corruption Action line-PUNJAB</t>
  </si>
  <si>
    <t>Pre qualification qualified, further rounds results awaited</t>
  </si>
  <si>
    <t>Software implementation and whatsapp chatbot</t>
  </si>
  <si>
    <t>https://www.tendertiger.com/viewtenderdetailnd.aspx?sbno=248321&amp;sbencp=2da274524314dc13d&amp;SrN=57190438&amp;encp=8525e01667c0f5df0&amp;fav=1&amp;MailTrackId=26411158&amp;MailTrackEncp=ba181ef4e8c4c00f7</t>
  </si>
  <si>
    <t>UCO bank-Kolkata</t>
  </si>
  <si>
    <t>To Supply, Implement and Maintain of Digital Customer On-boarding with CRM Solution to provide 360-degree view as per the Terms &amp; Conditions</t>
  </si>
  <si>
    <t>https://www.tendertiger.com/viewtenderdetailnd.aspx?sbno=248321&amp;sbencp=2da274524314dc13d&amp;SrN=57250461&amp;encp=b5b4aad0d4eb61e21&amp;fav=1&amp;MailTrackId=26428326&amp;MailTrackEncp=4e371612d43d8a76d</t>
  </si>
  <si>
    <t>https://www.ucobank.com/english/tenders.aspx</t>
  </si>
  <si>
    <t>TENDER FOR DIGITALIZATION OF THE INDIAN
PHARMACOPOEIA</t>
  </si>
  <si>
    <t>Prashank's lead</t>
  </si>
  <si>
    <t>HRMS2 Directorate, Finance Department</t>
  </si>
  <si>
    <t>GeM</t>
  </si>
  <si>
    <t>GeM Data Management and Analytics System (DMAS)</t>
  </si>
  <si>
    <t>&gt;Minimum Average Annual Turnover for 3 years &gt;10 Cr
&gt;Minimum of 5 years of development experience in using various Relational and Non-relational DBMS
&gt;Experience on working and development of products for Linux (RHEL) OS.
&gt;Proficiency in exploitation of various inbuilt tools of Big Data Analytics and Machine Learning.
&gt;Experience in architecting, design &amp; development of large scale DBMS.
&gt;Integration of DBMS with GUI with back-end processing modules in a distributed System.
&gt;Expertise in Database testing and credibility for successful acceptance of DBMS.
&gt;Compliance with Information Security Standard ISO 27001.</t>
  </si>
  <si>
    <t>BID NO: GEM/2022/B/2828174</t>
  </si>
  <si>
    <t>2022_DTE_93410_1</t>
  </si>
  <si>
    <t>Filed but cancelled by tenderer</t>
  </si>
  <si>
    <t>eproc Punjab</t>
  </si>
  <si>
    <t>Punjab skill</t>
  </si>
  <si>
    <t>Deptt of Technical Education and Industrial training||Punjab Skill Development Mission</t>
  </si>
  <si>
    <t>Yes</t>
  </si>
  <si>
    <t>Refund of EMD received</t>
  </si>
  <si>
    <t>MP Procurement Portal</t>
  </si>
  <si>
    <t>Directorate Urban Administration and Development||Muncipal Corporations - UAD||Muncipal Corporation-Indore - UAD</t>
  </si>
  <si>
    <t>Local office required</t>
  </si>
  <si>
    <t>REDESIGNING, DEVELOPMENT &amp;
COMPREHENSIVE MAINTENANCE OF EXISTING
WEBSITE OF INDORE MUNICIPAL CORPORATION</t>
  </si>
  <si>
    <t>https://mptenders.gov.in/nicgep/app?component=%24DirectLink&amp;page=FrontEndViewTender&amp;service=direct&amp;session=T&amp;sp=SI%2B2E8%2BqIeaLx10OYuaHtBg%3D%3D</t>
  </si>
  <si>
    <t xml:space="preserve">	2022_FACT_731102_1</t>
  </si>
  <si>
    <t>CPPP</t>
  </si>
  <si>
    <t xml:space="preserve">The Fertilisers And Chemicals Travancore Ltd.||Head Office - FACT||Corporate materials - FACT
</t>
  </si>
  <si>
    <t>Completion certificate required from client</t>
  </si>
  <si>
    <t>Mobile app development and maintenance for marketing department.</t>
  </si>
  <si>
    <t>https://eprocure.gov.in/eprocure/app?component=%24DirectLink&amp;page=FrontEndViewTender&amp;service=direct&amp;session=T&amp;sp=Skg4quIbxGHm3jB7g5Fc%2FMw%3D%3D</t>
  </si>
  <si>
    <t>2022_PWPIU_239609_1</t>
  </si>
  <si>
    <t>PWD-PIU||Bhopal APD PIU PWD||Bhopal DPE PIU PWD</t>
  </si>
  <si>
    <t>Location in Bhopal</t>
  </si>
  <si>
    <t>Link</t>
  </si>
  <si>
    <t>2022_HPCDP_66827_1</t>
  </si>
  <si>
    <t>HP 
Procurement
 Portal</t>
  </si>
  <si>
    <t>Himachal Pradesh 
Agriculture Development
 Society (JICA-ODA loan)</t>
  </si>
  <si>
    <t>No response received for technical feasibility</t>
  </si>
  <si>
    <t>Haryana Procurement Portal</t>
  </si>
  <si>
    <t>Haryana Board Corporation||HARTRON</t>
  </si>
  <si>
    <t>2023_HRY_255221_1</t>
  </si>
  <si>
    <t>HIMS</t>
  </si>
  <si>
    <t>Haryana Government||Maharaja Agrasen Medical College</t>
  </si>
  <si>
    <t>At least 100 full time ERP professionals</t>
  </si>
  <si>
    <t>Experience of developing and implementing HIMS Software for the last five years.
The software must have been installed and successfully &amp; running in at least five different hospitals of separate organization for the last three years with a minimum hospital bed capacity of 200 Beds each.</t>
  </si>
  <si>
    <t>Design, Development and Implementation of Hospital Information Management System (HIMS)</t>
  </si>
  <si>
    <t>We do not have exp in HIMS, tender not pursued. 100 ERP professionals were required.</t>
  </si>
  <si>
    <t>GEM/2023/B/3013925</t>
  </si>
  <si>
    <t>IIFCL</t>
  </si>
  <si>
    <t xml:space="preserve">Indian Infrastructure
Finance Company Ltd. ||
</t>
  </si>
  <si>
    <t>Hardware requirement</t>
  </si>
  <si>
    <t>2023_DHS_250459_1</t>
  </si>
  <si>
    <t>ANMOL Portal</t>
  </si>
  <si>
    <t>Directorate of Health Services||National Health Mission- MP</t>
  </si>
  <si>
    <t>Sent for management comments</t>
  </si>
  <si>
    <t>Under analysis</t>
  </si>
  <si>
    <t>Govt. experience required, pre-bid attended, no response on our query.</t>
  </si>
  <si>
    <t>2023_SCDR_869932_1</t>
  </si>
  <si>
    <t>SCDLR</t>
  </si>
  <si>
    <t>Settlement Commissioner 
and Director of Land Records (M.S.) Pune||Deputy Collector and State Co-Ordinator e-Ferfar Pune</t>
  </si>
  <si>
    <t>Sent query on mail for CMMI-3 req., to check corrigendum in 2 weeks, no response received.</t>
  </si>
  <si>
    <t>2023_UPPCL_773247_1</t>
  </si>
  <si>
    <t>UP Procurement Portal</t>
  </si>
  <si>
    <t>UPPCL</t>
  </si>
  <si>
    <t>Uttar Pradesh Power Corporation Ltd.||RAPDRP PART - A Unit</t>
  </si>
  <si>
    <t>GEM/2023/B/3062782</t>
  </si>
  <si>
    <t>FTII</t>
  </si>
  <si>
    <t>Film And Television Institue of India</t>
  </si>
  <si>
    <t>Govt. experience required</t>
  </si>
  <si>
    <t>2023_LIC_698307_1</t>
  </si>
  <si>
    <t>LIC</t>
  </si>
  <si>
    <t>Life Insurance Corporation of India</t>
  </si>
  <si>
    <t>Office required at Mumbai</t>
  </si>
  <si>
    <t>2023_GR_98102_1</t>
  </si>
  <si>
    <t>Filed, refund awaited</t>
  </si>
  <si>
    <t>Punjab Portal</t>
  </si>
  <si>
    <t>eGovernance</t>
  </si>
  <si>
    <t>Punjab State e-Governance Society</t>
  </si>
  <si>
    <t>Financial bid accepted however, rejected on basis of total score. We ranked 3rd here.</t>
  </si>
  <si>
    <t>GEM/2023/B/3236634</t>
  </si>
  <si>
    <t>HRMS</t>
  </si>
  <si>
    <t>Ministry of Defence</t>
  </si>
  <si>
    <t>2023_IAAD_702822_1</t>
  </si>
  <si>
    <t>ODMS</t>
  </si>
  <si>
    <t>Indian Audit and Accounts Department</t>
  </si>
  <si>
    <t>2023_RISL_325885_1</t>
  </si>
  <si>
    <t>Rajasthan Procurement</t>
  </si>
  <si>
    <t>RISL</t>
  </si>
  <si>
    <t>RajCOMP Info Services Limited</t>
  </si>
  <si>
    <t>GEM/2023/B/3296489</t>
  </si>
  <si>
    <t>Indian Council Of Medical Research</t>
  </si>
  <si>
    <t>Query Raised</t>
  </si>
  <si>
    <t>Waiting for updated pre-bid date to clarify experience requirements. No response received.</t>
  </si>
  <si>
    <t>GEM/2023/B/3368435</t>
  </si>
  <si>
    <t>MEFCC</t>
  </si>
  <si>
    <t>Ministry Of Environment Forest And Climate Change</t>
  </si>
  <si>
    <t>Management asked not to pursue as we do not have the comp cert.</t>
  </si>
  <si>
    <t>2023_HBC_281046_1</t>
  </si>
  <si>
    <t>MICADA</t>
  </si>
  <si>
    <t xml:space="preserve">	Haryana Board Corporation||HARTRON</t>
  </si>
  <si>
    <t>Count</t>
  </si>
  <si>
    <t>Follow up with management-48 hours.</t>
  </si>
  <si>
    <t>To send details to EC-Arch(If required)- in 24 hours.(Technical evaluation).</t>
  </si>
  <si>
    <t>EC Arch to respond in 48 hours-otherwise inform Satender/Sunil.</t>
  </si>
  <si>
    <t>Documentation list(2 days)</t>
  </si>
  <si>
    <t>Document arrangement( Before 4 days of last date of submission).</t>
  </si>
  <si>
    <t>Document listing with Index to Accounts.(24hours after docs are arranged).</t>
  </si>
  <si>
    <t>Final submission of docs, EMD (2 days before last date of submission)</t>
  </si>
  <si>
    <t>Scans of filed copy to be in a designated folder.</t>
  </si>
  <si>
    <t>Any query raised to be answered by due date given by tenderer.</t>
  </si>
  <si>
    <t>Main racking: </t>
  </si>
  <si>
    <t>Follow up with tenderer for results and check website.(weekly). For this, accounts to confirm the status of tender.</t>
  </si>
  <si>
    <t>Any ad-hoc followups.</t>
  </si>
  <si>
    <t>On Dashboard</t>
  </si>
  <si>
    <t>Active/Inactive status</t>
  </si>
  <si>
    <t>Leads source %wise bifurcation</t>
  </si>
  <si>
    <t>Last 1 month</t>
  </si>
  <si>
    <t>Till date piechart</t>
  </si>
  <si>
    <t>Reasons of disqualification</t>
  </si>
  <si>
    <t>Parameters sheet</t>
  </si>
  <si>
    <t>How many active cases are in a particular stage- With management, technical evaluation, documentation, Filed------Query</t>
  </si>
  <si>
    <t>Month wise growth</t>
  </si>
  <si>
    <t>Row Labels</t>
  </si>
  <si>
    <t>Count of Case ID</t>
  </si>
  <si>
    <t>Parameters</t>
  </si>
  <si>
    <t>Count of Parameters</t>
  </si>
  <si>
    <t>No</t>
  </si>
  <si>
    <t>Days to shut down</t>
  </si>
  <si>
    <t>Percent Complete</t>
  </si>
  <si>
    <t xml:space="preserve">Current Stage </t>
  </si>
  <si>
    <t>Stepwise tracking</t>
  </si>
  <si>
    <t>Follow up with management</t>
  </si>
  <si>
    <t>Status</t>
  </si>
  <si>
    <t>Technical Evaluation</t>
  </si>
  <si>
    <t>EC Arch Responded</t>
  </si>
  <si>
    <t>Documentation Listing</t>
  </si>
  <si>
    <t>Document Arrangement</t>
  </si>
  <si>
    <t>Document listing with Index to Accounts</t>
  </si>
  <si>
    <t>Final Submission</t>
  </si>
  <si>
    <t>Query</t>
  </si>
  <si>
    <t>Done</t>
  </si>
  <si>
    <t>Not required</t>
  </si>
  <si>
    <t xml:space="preserve">Not Done </t>
  </si>
  <si>
    <t>Not Done</t>
  </si>
  <si>
    <t>Gemini qualifies(Yes/No)</t>
  </si>
  <si>
    <t>Hardware installation</t>
  </si>
  <si>
    <t>100 crore annual turnover</t>
  </si>
  <si>
    <t>Antivirus</t>
  </si>
  <si>
    <t>CERT-IN empaneled organization</t>
  </si>
  <si>
    <t>Authorized by OEM</t>
  </si>
  <si>
    <t>Consultancy to any commercial bank</t>
  </si>
  <si>
    <t>Business continuity plans (BCP) and disaster recovery plans (DRP)</t>
  </si>
  <si>
    <t>MSME-Medium</t>
  </si>
  <si>
    <t>Cybersecurity</t>
  </si>
  <si>
    <t>&gt;40 Crore turnover in last 3 years</t>
  </si>
  <si>
    <t>Data centre set up</t>
  </si>
  <si>
    <t>Maintainence and administration of IT services</t>
  </si>
  <si>
    <t>dns security</t>
  </si>
  <si>
    <t>Finacle 10 Core banking solutions experience</t>
  </si>
  <si>
    <t>E- payment provider</t>
  </si>
  <si>
    <t>E-Learning platform Experience in last 3 Year</t>
  </si>
  <si>
    <t>Inventory management with OEM support</t>
  </si>
  <si>
    <t>Face Recognition System Software, Face Recognition
System Software with Attendance solution OEM</t>
  </si>
  <si>
    <t>OEM partner</t>
  </si>
  <si>
    <t>Site preparation for data centre</t>
  </si>
  <si>
    <t>Firewall solution</t>
  </si>
  <si>
    <t>valid ISO 9001:2008/2015 Certificate or ISO 20000 Certificate</t>
  </si>
  <si>
    <t>Government Experience</t>
  </si>
  <si>
    <t>Website Application Security Platform Software /OEM</t>
  </si>
  <si>
    <t>ISO 27001:2013</t>
  </si>
  <si>
    <t>OEM Certificate</t>
  </si>
  <si>
    <t>Pipestress software(Nuclear)</t>
  </si>
  <si>
    <t>Web based application with firewall</t>
  </si>
  <si>
    <t>AI/ML based voicebot/chatbot</t>
  </si>
  <si>
    <t>Payment reconcilations</t>
  </si>
  <si>
    <t>PCI-DSS certificate </t>
  </si>
  <si>
    <t>Tenderer</t>
  </si>
  <si>
    <t>Filed on</t>
  </si>
  <si>
    <t>EMD</t>
  </si>
  <si>
    <t>Application fees</t>
  </si>
  <si>
    <t>Refund status</t>
  </si>
  <si>
    <t>Pending final result</t>
  </si>
  <si>
    <t>This is empanelment RFP. No fees will be charged. Follow-up is done innumerous times however, no response from their end.</t>
  </si>
  <si>
    <t>Filed, rejected in last round</t>
  </si>
  <si>
    <t>21/12/2022</t>
  </si>
  <si>
    <t>INR1,00,000</t>
  </si>
  <si>
    <t>INR 3860</t>
  </si>
  <si>
    <t>Refund received, 
 Account teams
 Confirmed on 30th March 2023</t>
  </si>
  <si>
    <r>
      <rPr>
        <sz val="11"/>
        <color rgb="FF000000"/>
        <rFont val="Calibri"/>
      </rPr>
      <t>Round 1 and 2 qualified, financial bid opened, final results awaited.
As per tender document "</t>
    </r>
    <r>
      <rPr>
        <b/>
        <sz val="11"/>
        <color rgb="FF000000"/>
        <rFont val="Calibri"/>
      </rPr>
      <t>EMD of unsuccessful bidders will be refunded as promptly as possible</t>
    </r>
    <r>
      <rPr>
        <sz val="11"/>
        <color rgb="FF000000"/>
        <rFont val="Calibri"/>
      </rPr>
      <t>".
Final round disqualified on 10th March</t>
    </r>
  </si>
  <si>
    <t>Punjab Skill</t>
  </si>
  <si>
    <t>Filed but, cancelled by tendered.</t>
  </si>
  <si>
    <t>INR5,00,000</t>
  </si>
  <si>
    <t>INR2,000</t>
  </si>
  <si>
    <r>
      <rPr>
        <b/>
        <sz val="11"/>
        <color rgb="FF000000"/>
        <rFont val="Calibri"/>
      </rPr>
      <t>Refund of EMD received</t>
    </r>
    <r>
      <rPr>
        <sz val="11"/>
        <color rgb="FF000000"/>
        <rFont val="Calibri"/>
      </rPr>
      <t xml:space="preserve"> on 10/01. Confirmed by accounts team on mail.</t>
    </r>
  </si>
  <si>
    <t>Application fee of INR2,000 is not refundable. EMD refund received.</t>
  </si>
  <si>
    <t>Filed, Selected</t>
  </si>
  <si>
    <t>28/02/2023</t>
  </si>
  <si>
    <t>INR10,00,000</t>
  </si>
  <si>
    <t>INR30,000 + INR1000 + GST</t>
  </si>
  <si>
    <r>
      <rPr>
        <sz val="11"/>
        <color rgb="FF000000"/>
        <rFont val="Calibri"/>
      </rPr>
      <t xml:space="preserve">Hard copy submitted at Panchkula office ON 01/03/2023.
If selected, INR 1,00,000 should be paid as yearly fees. Empanelment is for 2 years.
</t>
    </r>
    <r>
      <rPr>
        <b/>
        <sz val="11"/>
        <color rgb="FF000000"/>
        <rFont val="Calibri"/>
      </rPr>
      <t xml:space="preserve">Application fees of 31k is not refundable.
</t>
    </r>
    <r>
      <rPr>
        <sz val="11"/>
        <color rgb="FF000000"/>
        <rFont val="Calibri"/>
      </rPr>
      <t xml:space="preserve">
Received selection intimation on 20/04</t>
    </r>
  </si>
  <si>
    <t>Filed,  rejected in last round</t>
  </si>
  <si>
    <t>28/03/2023</t>
  </si>
  <si>
    <t>INR2,00,000</t>
  </si>
  <si>
    <t>INR2000</t>
  </si>
  <si>
    <t>Financial bid conducted on 18/04.
Ranked 3rd in composite marks. Could not get selected 20/04.</t>
  </si>
  <si>
    <t>Tender Tiger Total</t>
  </si>
  <si>
    <t>UP Procurement Portal Total</t>
  </si>
  <si>
    <t>Sep/22</t>
  </si>
  <si>
    <t>Sep/22 Total</t>
  </si>
  <si>
    <t>Oct/22</t>
  </si>
  <si>
    <t>Oct/22 Total</t>
  </si>
  <si>
    <t>Nov/22</t>
  </si>
  <si>
    <t>Prashank's lead Total</t>
  </si>
  <si>
    <t>Nov/22 Total</t>
  </si>
  <si>
    <t>Jan/23</t>
  </si>
  <si>
    <t>Haryana Procurement Portal Total</t>
  </si>
  <si>
    <t>Jan/23 Total</t>
  </si>
  <si>
    <t>Feb/23</t>
  </si>
  <si>
    <t>MP Procurement Portal Total</t>
  </si>
  <si>
    <t>Feb/23 Total</t>
  </si>
  <si>
    <t>Dec/22</t>
  </si>
  <si>
    <t>CPPP Total</t>
  </si>
  <si>
    <t>eproc Punjab Total</t>
  </si>
  <si>
    <t>GeM Total</t>
  </si>
  <si>
    <t>HP 
Procurement
 Portal Total</t>
  </si>
  <si>
    <t>Dec/22 Total</t>
  </si>
  <si>
    <t>Total</t>
  </si>
  <si>
    <t>(Multiple Items)</t>
  </si>
  <si>
    <t>Count of Active/Inactive</t>
  </si>
  <si>
    <t>Column Labels</t>
  </si>
  <si>
    <t>Organizations shortlisted</t>
  </si>
  <si>
    <t>CUNIX Infotech Pvt. Ltd.</t>
  </si>
  <si>
    <t>Received the quotation</t>
  </si>
  <si>
    <t>TUV Rheinland India Private Limited</t>
  </si>
  <si>
    <t>Will receive quotation by Monday.</t>
  </si>
  <si>
    <t>QAI India Limited</t>
  </si>
  <si>
    <t>Sent questionnaire after which they will further need discussions with sponsor and meeting with QMS team.</t>
  </si>
  <si>
    <t>No. of tenders received</t>
  </si>
  <si>
    <t>Qualified</t>
  </si>
  <si>
    <t xml:space="preserve">Disqualified </t>
  </si>
  <si>
    <t>1. Prior experience in banking domain for 3 years. (Primarily required maintainence and operations of IT infrastructure &amp; core banking solution 'Finacle 10' and its apps). 
2. Hardware installation required
3. Not experienced in Govt/PSU projects
4. Not empanelled under CERT -IN 
5. Web Intelligence tool procurement/intallation</t>
  </si>
  <si>
    <t>S. No.</t>
  </si>
  <si>
    <t>Tender by</t>
  </si>
  <si>
    <t>Disqualifying factors in question</t>
  </si>
  <si>
    <r>
      <rPr>
        <b/>
        <sz val="11"/>
        <color rgb="FF000000"/>
        <rFont val="Calibri"/>
      </rPr>
      <t xml:space="preserve">MHA </t>
    </r>
    <r>
      <rPr>
        <sz val="11"/>
        <color rgb="FF000000"/>
        <rFont val="Calibri"/>
      </rPr>
      <t>- Face Recognition System Software, Face Recognition
System Software with Attendance solution</t>
    </r>
  </si>
  <si>
    <t>29/10/2022</t>
  </si>
  <si>
    <r>
      <rPr>
        <b/>
        <sz val="11"/>
        <color rgb="FF000000"/>
        <rFont val="Calibri"/>
      </rPr>
      <t>Experience Criteria:</t>
    </r>
    <r>
      <rPr>
        <sz val="11"/>
        <color rgb="FF000000"/>
        <rFont val="Calibri"/>
      </rPr>
      <t xml:space="preserve"> The Bidder or its OEM {themselves or through reseller(s)} should have regularly, manufactured and supplied same or similar Category Products to any Central / State Govt Organization /PSU / Public Listed Company for 1 year before the bid opening date. Copies of relevant contracts to be submitted along with bid in support of having supplied some quantity during each of the year. In case of bunch bids, the primary product having highest value should meet this criterion.
Upload Manufacturer authorization: Wherever Authorised Distributors are submitting the bid, Manufacturers Authorisation Form (MAF)/Certificate with OEM details such as name, designation, address, e-mail Id and Phone No. required to be furnished along with the bid.</t>
    </r>
  </si>
  <si>
    <r>
      <rPr>
        <b/>
        <sz val="11"/>
        <color rgb="FF000000"/>
        <rFont val="Calibri"/>
      </rPr>
      <t xml:space="preserve">Kindly check Page 7 of Document 1 -Point 8 &amp; Page 8, point 14.
</t>
    </r>
    <r>
      <rPr>
        <sz val="11"/>
        <color rgb="FF000000"/>
        <rFont val="Calibri"/>
      </rPr>
      <t xml:space="preserve">
Please confirm if we qualify the  points in any way.</t>
    </r>
  </si>
  <si>
    <r>
      <rPr>
        <b/>
        <sz val="11"/>
        <color rgb="FF000000"/>
        <rFont val="Calibri"/>
      </rPr>
      <t>Ministry of Defence</t>
    </r>
    <r>
      <rPr>
        <sz val="11"/>
        <color rgb="FF000000"/>
        <rFont val="Calibri"/>
      </rPr>
      <t xml:space="preserve"> - Website Application Security Platform Software</t>
    </r>
  </si>
  <si>
    <t>27/10/2022</t>
  </si>
  <si>
    <t xml:space="preserve">Experience Criteria: In respect of the filter applied for experience criteria, the Bidder or its OEM {themselves or through reseller(s)} should have regularly, manufactured and supplied same or similar Category Products to any Central / State Govt Organization / PSU / Public Listed Company for number of Financial years as indicated above in the bid document before the bid opening date. Copies of relevant contracts to be submitted along with bid in support of having supplied some quantity during each of the Financial year. In case of bunch bids, the category of primary product having highest value should meet this criterion.
</t>
  </si>
  <si>
    <r>
      <rPr>
        <b/>
        <sz val="11"/>
        <color rgb="FF000000"/>
        <rFont val="Calibri"/>
      </rPr>
      <t xml:space="preserve">Kindly check Page 3 of Document 2 -, Point 4
</t>
    </r>
    <r>
      <rPr>
        <sz val="11"/>
        <color rgb="FF000000"/>
        <rFont val="Calibri"/>
      </rPr>
      <t xml:space="preserve">
Please confirm if we qualify the  points in any way.</t>
    </r>
  </si>
  <si>
    <r>
      <rPr>
        <b/>
        <sz val="11"/>
        <color rgb="FF000000"/>
        <rFont val="Calibri"/>
      </rPr>
      <t>BHU -</t>
    </r>
    <r>
      <rPr>
        <sz val="11"/>
        <color rgb="FF000000"/>
        <rFont val="Calibri"/>
      </rPr>
      <t xml:space="preserve"> PROVIDING ONLINE SERVICES ON SINGLE PLATFORM SOFTWARE FOR MAINTENANCE/DEVELOPMENT OF VARIOUS MODULES OF UNIVERSITY EXAMINATION MANAGEMENT SYSTEM</t>
    </r>
  </si>
  <si>
    <t>31/10/2022</t>
  </si>
  <si>
    <t>if required in the BDS, a Bidder that does not manufacture or produce the Goods it offers to supply shall submit the Manufacturer’s Authorization using the form included in Section IX, Bidding Forms. demonstrate that it has been duly authorized by the
manufacturer or producer of the Goods to supply these Goods in India;  Incase we meet above criteria, The manufacturer should have 3 years experience in providing similar services to universities.(Details attached in the Document 3)</t>
  </si>
  <si>
    <r>
      <rPr>
        <b/>
        <sz val="11"/>
        <color rgb="FF000000"/>
        <rFont val="Calibri"/>
      </rPr>
      <t xml:space="preserve">Kindly check Page 20 of Document 3 -point 14.2 (a)
</t>
    </r>
    <r>
      <rPr>
        <sz val="11"/>
        <color rgb="FF000000"/>
        <rFont val="Calibri"/>
      </rPr>
      <t xml:space="preserve">
Please confirm if we qualify the  points in any way.</t>
    </r>
  </si>
  <si>
    <r>
      <rPr>
        <b/>
        <sz val="11"/>
        <color rgb="FF000000"/>
        <rFont val="Calibri"/>
      </rPr>
      <t xml:space="preserve">OIL INDIA LIMITED </t>
    </r>
    <r>
      <rPr>
        <sz val="11"/>
        <color rgb="FF000000"/>
        <rFont val="Calibri"/>
      </rPr>
      <t>- Hiring services for design development hosting and maintenance of a webbased application system of 3tier architecture for online collection of application forms with a registration mechanism and provision for generation of v .. Qty -</t>
    </r>
  </si>
  <si>
    <t>Bidder must have experience of successfully completing at least one SIMILAR work of value ₹ 8,66,000.00 (Rupees Eight Lakh Sixty-SixThousand) only in previous 07 (seven) years reckoned from the original bidclosing date with PSUs / Central Government / State Government Organization / Public Limited Company / UGC recognised University /
Government aided Educational Institutions / MNC.
Experience of executing similar work through ‘sub-contracting’ shall not be considered for evaluation.</t>
  </si>
  <si>
    <r>
      <rPr>
        <b/>
        <sz val="11"/>
        <color rgb="FF000000"/>
        <rFont val="Calibri"/>
      </rPr>
      <t xml:space="preserve">Kindly check Page 1; point no. 1.1.1  and Page 2 point F  of Document 4 
</t>
    </r>
    <r>
      <rPr>
        <sz val="11"/>
        <color rgb="FF000000"/>
        <rFont val="Calibri"/>
      </rPr>
      <t xml:space="preserve">
Please confirm if we qualify the  points in any way.</t>
    </r>
  </si>
  <si>
    <r>
      <rPr>
        <b/>
        <sz val="11"/>
        <color rgb="FF000000"/>
        <rFont val="Calibri"/>
      </rPr>
      <t xml:space="preserve">Hindustan Petroleum Corporation Limited - </t>
    </r>
    <r>
      <rPr>
        <sz val="11"/>
        <color rgb="FF000000"/>
        <rFont val="Calibri"/>
      </rPr>
      <t>Providing of bharat bill payment (bbps) and credit facilities (bnpl) on mobile payment app (hp pay).</t>
    </r>
  </si>
  <si>
    <t>Bidder should have relevant experience in providing BBPS  BHARAT BILL PAYMENT (BBPS) AND CREDIT FACILITIES (BNPL) services to at least one agent institution
in India (without any discontinuity) during last 7 years ending on 31st Mar’2022.</t>
  </si>
  <si>
    <r>
      <rPr>
        <b/>
        <sz val="11"/>
        <color rgb="FF000000"/>
        <rFont val="Calibri"/>
      </rPr>
      <t xml:space="preserve">Kindly check Page 37   Part B of Document 5
</t>
    </r>
    <r>
      <rPr>
        <sz val="11"/>
        <color rgb="FF000000"/>
        <rFont val="Calibri"/>
      </rPr>
      <t xml:space="preserve">
Please confirm if we qualify the  points in any way.</t>
    </r>
  </si>
  <si>
    <r>
      <rPr>
        <b/>
        <sz val="11"/>
        <color rgb="FF000000"/>
        <rFont val="Calibri"/>
      </rPr>
      <t>Rajcomp -</t>
    </r>
    <r>
      <rPr>
        <sz val="11"/>
        <color rgb="FF000000"/>
        <rFont val="Calibri"/>
      </rPr>
      <t xml:space="preserve"> Rfp for selection of technology partner for rajasthan integrated tax management system</t>
    </r>
  </si>
  <si>
    <t>The bidder should have executed/executing at least three work orders of providing the software for TDS (IT) Compliances (similar to nature of work defined in this RFP) to at least 5000 branches/units for any central/ state government department/ parastatal organization/ nationalized Banks in India in last 5 financial years
&gt;Digital signature Type 3 is required to apply for bidding process.</t>
  </si>
  <si>
    <r>
      <rPr>
        <b/>
        <sz val="11"/>
        <color rgb="FF000000"/>
        <rFont val="Calibri"/>
      </rPr>
      <t xml:space="preserve">Kindly check Page 12  point 4. of Document 6
</t>
    </r>
    <r>
      <rPr>
        <sz val="11"/>
        <color rgb="FF000000"/>
        <rFont val="Calibri"/>
      </rPr>
      <t xml:space="preserve">
Please confirm if we qualify the  points in any way.</t>
    </r>
  </si>
  <si>
    <t>India- as on 28/10</t>
  </si>
  <si>
    <t>No. of tenders studied</t>
  </si>
  <si>
    <t>Approx 2000</t>
  </si>
  <si>
    <t xml:space="preserve">Shortlisted </t>
  </si>
  <si>
    <t>Disqualified</t>
  </si>
  <si>
    <r>
      <rPr>
        <b/>
        <sz val="11"/>
        <color rgb="FF000000"/>
        <rFont val="Calibri"/>
      </rPr>
      <t>Under consideration -</t>
    </r>
    <r>
      <rPr>
        <sz val="11"/>
        <color rgb="FF000000"/>
        <rFont val="Calibri"/>
      </rPr>
      <t xml:space="preserve"> Rfp for ai and ml based voicebot and chatbot platform</t>
    </r>
  </si>
  <si>
    <t>https://etender.up.nic.in/nicgep/app?component=%24DirectLink&amp;page=FrontEndViewTender&amp;service=direct&amp;session=T&amp;sp=SNisV%2F%2F3cwOPKsQ1XcYDWHA%3D%3D</t>
  </si>
  <si>
    <t>https://etender.up.nic.in/nicgep/app?component=%24DirectLink&amp;page=FrontEndViewTender&amp;service=direct&amp;session=T&amp;sp=SYj%2BqtmltOvfkKedLpl49Yw%3D%3D</t>
  </si>
  <si>
    <t>Documents</t>
  </si>
  <si>
    <t>PAN/TAN Number of the firm</t>
  </si>
  <si>
    <t xml:space="preserve">GST Registration Number of Firm </t>
  </si>
  <si>
    <t>Copy of the ITR for last three financial years</t>
  </si>
  <si>
    <t>A copy of latest audited Balance Sheet for last three (03) financial years</t>
  </si>
  <si>
    <t>OEM authorized partner</t>
  </si>
  <si>
    <t>Gemini qualifies</t>
  </si>
  <si>
    <t>Reason for disqualification</t>
  </si>
  <si>
    <t>Request for evidence</t>
  </si>
  <si>
    <t>Feasible</t>
  </si>
  <si>
    <t>Do not qualify-Management comments required</t>
  </si>
  <si>
    <t>On hold</t>
  </si>
  <si>
    <t>Under discussions</t>
  </si>
  <si>
    <t>Sent for Filing</t>
  </si>
  <si>
    <t>Request for Evidence</t>
  </si>
  <si>
    <t>Closed lead however comments awaited from management</t>
  </si>
  <si>
    <t>Not feasible as per EC-Arch</t>
  </si>
  <si>
    <t>Sent for technical evaluation</t>
  </si>
  <si>
    <t>Banking domain experience</t>
  </si>
  <si>
    <t>No response received from EC-ARch</t>
  </si>
  <si>
    <t>Documentation in progress</t>
  </si>
  <si>
    <t xml:space="preserve">OEM authorized with experrience of 10 years in </t>
  </si>
  <si>
    <t>Experience in building upgrading and maintainence of Data centre</t>
  </si>
  <si>
    <t>Experience of web dev with IIT/IIM</t>
  </si>
  <si>
    <t>Filing under process</t>
  </si>
  <si>
    <t>Experience in HIMS- projects with 5 hospitals</t>
  </si>
  <si>
    <t>Requirement</t>
  </si>
  <si>
    <t>Requirement Details</t>
  </si>
  <si>
    <t>Criterias Qualifying</t>
  </si>
  <si>
    <t>Yes/No/Under consideration</t>
  </si>
  <si>
    <t>PNB</t>
  </si>
  <si>
    <t>Experience working with Central / State Govt Organization / PSU / Public Listed Company.</t>
  </si>
  <si>
    <r>
      <rPr>
        <sz val="10"/>
        <color rgb="FF000000"/>
        <rFont val="Arial"/>
      </rPr>
      <t xml:space="preserve">Years of Past Experience required: The bidder must have </t>
    </r>
    <r>
      <rPr>
        <b/>
        <sz val="10"/>
        <color rgb="FF000000"/>
        <rFont val="Arial"/>
      </rPr>
      <t>experience for number of years as indicated above in bid data sheet (ending month of March prior to the bid opening) of providing similar type of services to anyCentral / State Govt Organization / PSU / Public Listed Company.</t>
    </r>
    <r>
      <rPr>
        <sz val="10"/>
        <color rgb="FF000000"/>
        <rFont val="Arial"/>
      </rPr>
      <t xml:space="preserve"> Copies of relevant contracts / orders to beuploaded along with bid in support of having provided services during each of the Financial year.</t>
    </r>
  </si>
  <si>
    <t>SK-(NO)</t>
  </si>
  <si>
    <t>Inventory management</t>
  </si>
  <si>
    <r>
      <t>The Bidder shall periodically provide the</t>
    </r>
    <r>
      <rPr>
        <b/>
        <sz val="10"/>
        <color rgb="FF000000"/>
        <rFont val="Arial"/>
      </rPr>
      <t xml:space="preserve"> detailed inventory for monitoring of all
assets being managed, at all levels, including where OEM support is being
availed.</t>
    </r>
  </si>
  <si>
    <t>SK-(YES)</t>
  </si>
  <si>
    <t>Business continuity plans (BCP) and disaster recovery plans (DRP) must meet the requirements as per Information Technology Governance, Risk, Controls and Assurance Practices 2022.</t>
  </si>
  <si>
    <t>SK(YES)</t>
  </si>
  <si>
    <t>Maintainence and administration of entire infrastructure.</t>
  </si>
  <si>
    <t>overall management, smooth, operations, support, troubleshooting, maintenance and administration of entire Infrastructure and Core Banking Solution ‘Finacle 10’ and its associated applications for PNB, its sponsored RRBs, its Overseas entities at DC, DR,
Near DR and any other site of the Bank on 24 x 7 x 365 basis.</t>
  </si>
  <si>
    <t>SK(NO)</t>
  </si>
  <si>
    <t>IIT</t>
  </si>
  <si>
    <t>OEM authorized dealer</t>
  </si>
  <si>
    <t>Indian Institute  of Technology Delhi  invites online Bids(Technical bid and Commercial bid) from  eligible and experienced OEM (Original EquipmentManufacturer) OR OEM Authorized Dealerfor Appointment of an agency for Design, Site Preparation, Supply, Installation, Testing, Commissioning, Operations and Maintenance of Basic Infrastructure for the establishment of Data Centre at IIT Delhi, Sonipat Campus</t>
  </si>
  <si>
    <t>Detailed design and site preparation of the Data Centre</t>
  </si>
  <si>
    <t>Detailed design and site preparation of the Data Centre involving civil, electrical, and mechanical work including dismantling, false ceiling, raised flooring, moisture sealing, fortification of windows and all other necessary components. 
Supply, installation and commissioning of basic infrastructure, UPS, air conditioning, fire prevention and detection systems, lighting, access control and surveillance systems, rodent control system, BMS and Data Centre integrated management system (DCIM) and internal and external illumination.</t>
  </si>
  <si>
    <t>SK(YES) - we can , but may not prefer.</t>
  </si>
  <si>
    <t>S. no.</t>
  </si>
  <si>
    <t>Qualified criterias</t>
  </si>
  <si>
    <t>4 days(10/3/2022) to submission</t>
  </si>
  <si>
    <t>1. OEM authorized to supply, install and support the proposed Web Intelligence Tool. This tool should be in use by at least 10 national or international entities as on date of EOI.
2. Experience in implementing, installing and maintaining tools (such as AI based tools, digital forensic tools, visualisation tools etc.) over the last seven years.</t>
  </si>
  <si>
    <r>
      <t>Kindly check Page 8 of Document 2(attached) -BIDDER’S ELIGIBILITY CRITERIA, Point no 2 and 3.</t>
    </r>
    <r>
      <rPr>
        <sz val="11"/>
        <color rgb="FF000000"/>
        <rFont val="Calibri"/>
        <family val="2"/>
      </rPr>
      <t xml:space="preserve">
Please confirm if we qualify the two points in any way.</t>
    </r>
  </si>
  <si>
    <r>
      <t xml:space="preserve"> 6 days(10/5/2022) to submission &amp; </t>
    </r>
    <r>
      <rPr>
        <b/>
        <sz val="11"/>
        <color rgb="FF000000"/>
        <rFont val="Calibri"/>
        <family val="2"/>
      </rPr>
      <t>Not qualifying</t>
    </r>
  </si>
  <si>
    <t xml:space="preserve">1. The bidder should have ISO 9001 and CMM3
    or higher certifications.
2. The bidder shall submit the PO/work
    completion certificates, of earlier websites
    developed by them for CPSUs/ Central
    Government/State Government/Public Sector
    organizations/Autonomous Bodies/ Statutory
    Bodies/University. </t>
  </si>
  <si>
    <r>
      <t>Kindly check Page 9 of Document 1(attached)-Terms and Conditions, Point 5 and 10.</t>
    </r>
    <r>
      <rPr>
        <sz val="11"/>
        <color rgb="FF000000"/>
        <rFont val="Calibri"/>
        <family val="2"/>
      </rPr>
      <t xml:space="preserve">
Please confirm if we qualify the two points in any way.</t>
    </r>
  </si>
  <si>
    <t>Request for evidence for observation:
http://etenders.hry.nic.in/nicgep/app
Tender no: 2022_HRY_239476_1</t>
  </si>
  <si>
    <t>Emailed Aman sir and Sunil to help fetching the tender details document. Searched webpage, not able to locate the tender.</t>
  </si>
  <si>
    <r>
      <t xml:space="preserve">11 days(10/10/2022) to submission &amp; </t>
    </r>
    <r>
      <rPr>
        <b/>
        <sz val="11"/>
        <color rgb="FF000000"/>
        <rFont val="Calibri"/>
        <family val="2"/>
      </rPr>
      <t>Not qualifying</t>
    </r>
  </si>
  <si>
    <t>1. Experience in supply and installation of UTMs with equivalent or higher of quoted value of the quoted item by a single order in Govt. Dept/PSU/Autonomous Bodies/University in last three years as on date.
2. Experience in supply and installation of (Unified Threat Management)UTMs with equivalent or higher of quoted value of the quoted item by a single order in Govt. Dept/PSU/Autonomous Bodies/University in last three years as on date.
3. Bidder must have a registered office with service centre in Northeast.</t>
  </si>
  <si>
    <r>
      <t>Kindly check Page 3 of Document 3 (attached)-Minimum Eligibility Criteria, Point 1, 2 and 7.</t>
    </r>
    <r>
      <rPr>
        <sz val="11"/>
        <color rgb="FF000000"/>
        <rFont val="Calibri"/>
        <family val="2"/>
      </rPr>
      <t xml:space="preserve">
Please confirm if we qualify the two points in any way.</t>
    </r>
  </si>
  <si>
    <t>Week 3</t>
  </si>
  <si>
    <t>Experience Criteria: The Bidder or its OEM {themselves or through reseller(s)} should have regularly,
manufactured and supplied same or similar Category Products to any Central / State Govt Organization /
PSU / Public Listed Company for 1 year before the bid opening date. Copies of relevant contracts to be
submitted along with bid in support of having supplied some quantity during each of the year. In case of
bunch bids, the primary product having highest value should meet this criterion.
Upload Manufacturer authorization: Wherever Authorised Distributors are submitting the bid,
Manufacturers Authorisation Form (MAF)/Certificate with OEM details such as name, designation, address,
e-mail Id and Phone No. required to be furnished along with the bid.</t>
  </si>
  <si>
    <r>
      <rPr>
        <b/>
        <sz val="11"/>
        <color rgb="FF000000"/>
        <rFont val="Calibri"/>
      </rPr>
      <t xml:space="preserve">Kindly check Page 7 of Document 1 (attached)-Minimum Eligibility Criteria, Point 8 and Page 8, point 14.
</t>
    </r>
    <r>
      <rPr>
        <sz val="11"/>
        <color rgb="FF000000"/>
        <rFont val="Calibri"/>
      </rPr>
      <t xml:space="preserve">
Please confirm if we qualify the  points in any way.</t>
    </r>
  </si>
  <si>
    <t xml:space="preserve">Experience Criteria: In respect of the filter applied for experience criteria, the Bidder or its OEM {themselves or
through reseller(s)} should have regularly, manufactured and supplied same or similar Category Products to any
Central / State Govt Organization / PSU / Public Listed Company for number of Financial years as indicated above in the bid document before the bid opening date. Copies of relevant contracts to be submitted along with bid in
support of having supplied some quantity during each of the Financial year. In case of bunch bids, the category of
primary product having highest value should meet this criterion.
</t>
  </si>
  <si>
    <r>
      <rPr>
        <b/>
        <sz val="11"/>
        <color rgb="FF000000"/>
        <rFont val="Calibri"/>
      </rPr>
      <t xml:space="preserve">Kindly check Page 3 of Document 2 (attached)-Minimum Eligibility Criteria, Point 4
</t>
    </r>
    <r>
      <rPr>
        <sz val="11"/>
        <color rgb="FF000000"/>
        <rFont val="Calibri"/>
      </rPr>
      <t xml:space="preserve">
Please confirm if we qualify the  points in any way.</t>
    </r>
  </si>
  <si>
    <t>if required in the BDS, a Bidder that does not
manufacture or produce the Goods it offers to supply
shall submit the Manufacturer’s Authorization using
the form included in Section IX, Bidding Forms.
demonstrate that it has been duly authorized by the
manufacturer or producer of the Goods to supply these
Goods in India; 
Incase we meet above criteria, The manufacturer should have 3 years experience in providing similar services to universities.(Details attached in the Document 3)</t>
  </si>
  <si>
    <r>
      <rPr>
        <b/>
        <sz val="11"/>
        <color rgb="FF000000"/>
        <rFont val="Calibri"/>
      </rPr>
      <t xml:space="preserve">Kindly check Page 19 of Document 3 (attached)-point 14.2 (a)
</t>
    </r>
    <r>
      <rPr>
        <sz val="11"/>
        <color rgb="FF000000"/>
        <rFont val="Calibri"/>
      </rPr>
      <t xml:space="preserve">
Please confirm if we qualify the  points in any way.</t>
    </r>
  </si>
  <si>
    <t>Kindly check Page 1; point no. 1.1.1  and Page 2 point F  of Document 4 
Please confirm if we qualify the  points in any way.</t>
  </si>
  <si>
    <t>Bidder should have relevant experience in providing BBPS  BHARAT BILL PAYMENT (BBPS) AND CREDIT
FACILITIES (BNPL) services to at least one agent institution
in India (without any discontinuity) during last 7 years ending on 31st Mar’2022.</t>
  </si>
  <si>
    <t>Kindly check Page 37   Part B of Document 5
Please confirm if we qualify the  points in any way.</t>
  </si>
  <si>
    <t>Kindly check Page 12   point 4. of Document 6
Please confirm if we qualify the  points in any way.</t>
  </si>
  <si>
    <t>Week 4</t>
  </si>
  <si>
    <r>
      <rPr>
        <b/>
        <sz val="11"/>
        <color rgb="FF000000"/>
        <rFont val="Calibri"/>
      </rPr>
      <t xml:space="preserve"> Rajcomp-</t>
    </r>
    <r>
      <rPr>
        <sz val="11"/>
        <color rgb="FF000000"/>
        <rFont val="Calibri"/>
      </rPr>
      <t>Rfp for ai and ml based voicebot and chatbot platform and its integration with rajasthan government citizen centric software applications.</t>
    </r>
  </si>
  <si>
    <t>18/11/2022</t>
  </si>
  <si>
    <t>-A company registered under Indian Companies
Act, 1956
-Averagae annual turnover from 2018-19 to
2020-2021 should be at least Rs. 100 Crore.
-The net worth should be positive as on date.
- The bidder should have registered no. of GST and PAN</t>
  </si>
  <si>
    <t>The bidder/ any consortium partner should have experience in AI/ML based Voicebot or Chatbot implementation and its integration with other applications only in India during the last five financial years till March 31st, 2022, having order value as given below: A) One AI/ML based Voicebot or Chatbot Implementation project of not less than the amount Rs 1,00,00,000 i. e. INR One Crore only. OR B) Two AI/ML based Voicebot or Chatbot Implementation projects jointly not less than the amount Rs 1,50,00,00</t>
  </si>
  <si>
    <t>Document 1, page 2, point no. 4</t>
  </si>
  <si>
    <t xml:space="preserve">Institute For Plasma Research - Supply of programmable logic controller, programming software along with required accessories at institute for plasma research, gandhinagar </t>
  </si>
  <si>
    <t>30/11/2022</t>
  </si>
  <si>
    <t>&gt; PAN CARD
&gt; GST
&gt; “Class-I local supplier”</t>
  </si>
  <si>
    <t>- Digital Signature Certificate (Class -III)
- Valid registration with Directorate of Purchase and Stores, Department of Atomic Energy
- Can we provide asscessories and programmable logic controller? as per Document 2</t>
  </si>
  <si>
    <t>Week 5and 6</t>
  </si>
  <si>
    <t>IIM-Raipur - Website maintainence</t>
  </si>
  <si>
    <t>28/11/2022</t>
  </si>
  <si>
    <t xml:space="preserve">&gt;Avg. Annual Turnover for last 3 years Rs.25 lakhs or more.
&gt;GST Registration.
&gt;Experience working with IIM/IIT
&gt;minimum ISO 9001, ISO 27001 and ISO 20001 certificate.
</t>
  </si>
  <si>
    <t>CMMI 3</t>
  </si>
  <si>
    <t>Dept. of Land records- Dev of api portal &amp; allied services</t>
  </si>
  <si>
    <t>22/11/2022</t>
  </si>
  <si>
    <t>&gt;Registered firm with govt.
&gt; In Operations for 3 years
&gt; No JV
&gt; Office in Maharashtra
&gt; Avg turnover of 1cr. for last 3 years
&gt; Positive net worth
&gt; Not be black listed
&gt; Experience iin IT projects
&gt; GST no.
&gt; Team of atleast 15 IT professionals</t>
  </si>
  <si>
    <t>CMMI 3 - Can be waived for Start ups
* Start up considered if registered on or after 1st April 2014.
On MCA we registered in Jan 2014.</t>
  </si>
  <si>
    <t>09/11/2022;   meet.google.com/hox-dpdj-ift</t>
  </si>
  <si>
    <t>Week7</t>
  </si>
  <si>
    <t>Information And Public Relation Department-Patna</t>
  </si>
  <si>
    <t>29/11/2022</t>
  </si>
  <si>
    <t>&gt;In opeartions since last 5 years
&gt;GST
&gt;ESI and EPF valid certificate 
&gt;CMMI3 OR ISO9001:2015
&gt;150 professionals onroll
&gt;Avg. turnover of 7 crore in last 3 years
&gt;Profit making company as on 31st March 2022
&gt; Should not be blacklisted
&gt;Office in Patna/can establish office within 30 days of signing contract
&gt;Not blacklisted by govt.</t>
  </si>
  <si>
    <t>&gt;IT projects(2 turn key) with Govt/PSUs in last 5 years.
&gt;App Dev. with Govt/PSUs: 2 projects-2 cr. value.
&gt;MIS project with Govt./PSUs in last 5 years</t>
  </si>
  <si>
    <t>Please check page 45 of the document for detailed Pre-qualification criteria.</t>
  </si>
  <si>
    <t>Week 8</t>
  </si>
  <si>
    <t>&gt;Should be a registered firm
&gt;Should follow 'Website security guidelines' 
&gt;Resources with experience in work related to websites</t>
  </si>
  <si>
    <t>Experience in govt. dept. with 3 projects in last 5 years
- We asked for waiver, they confirmed that if they do not get any bidders with experience, they may consider us for the fid.</t>
  </si>
  <si>
    <r>
      <rPr>
        <sz val="11"/>
        <color rgb="FF000000"/>
        <rFont val="Calibri"/>
      </rPr>
      <t xml:space="preserve">Please check page 4, point 18 of the document.
</t>
    </r>
    <r>
      <rPr>
        <b/>
        <sz val="11"/>
        <color rgb="FF000000"/>
        <rFont val="Calibri"/>
      </rPr>
      <t>- We have requested for a demosntration virtually, the response is awaited.</t>
    </r>
  </si>
  <si>
    <t>Week 9</t>
  </si>
  <si>
    <t>Engineering Projects (India) Limited- They want to enter in collaboration for existing and future projects.</t>
  </si>
  <si>
    <t>&gt;OEM of specific Software product/ Service or Development of
Software- we qualify 4 of the options.
&gt;Pvt. Ltd. company
&gt;ISO9001:2015
&gt;ISO 27001:2013
&gt;Not blacklisted india and abroad
&gt;Not under bankrupcy
&gt;Profit making company
&gt;Positive net worth
&gt;Annual average turnover should not be less than 50 lakh in last 3 finan. years
&gt;PMP qualified project manager</t>
  </si>
  <si>
    <r>
      <rPr>
        <sz val="11"/>
        <color rgb="FF000000"/>
        <rFont val="Calibri"/>
      </rPr>
      <t>&gt;CMMI 3-----------------It is mentioned that minor waivers may be given.
If we have a '</t>
    </r>
    <r>
      <rPr>
        <b/>
        <sz val="11"/>
        <color rgb="FF000000"/>
        <rFont val="Calibri"/>
      </rPr>
      <t xml:space="preserve">PMP qualified project manager' </t>
    </r>
    <r>
      <rPr>
        <sz val="11"/>
        <color rgb="FF000000"/>
        <rFont val="Calibri"/>
      </rPr>
      <t>then we can earn 15 extra marks in final tech bid marks calculations.</t>
    </r>
  </si>
  <si>
    <r>
      <rPr>
        <sz val="11"/>
        <color rgb="FF000000"/>
        <rFont val="Calibri"/>
      </rPr>
      <t xml:space="preserve">We can apply for this bid considering extensive indian and foreign assignments we have done.
Document for </t>
    </r>
    <r>
      <rPr>
        <b/>
        <sz val="11"/>
        <color rgb="FF000000"/>
        <rFont val="Calibri"/>
      </rPr>
      <t>detailed eligibility</t>
    </r>
    <r>
      <rPr>
        <sz val="11"/>
        <color rgb="FF000000"/>
        <rFont val="Calibri"/>
      </rPr>
      <t>. Refer page no. 2, point 2.1.6 for CMMI requirement.</t>
    </r>
  </si>
  <si>
    <t>Week 10</t>
  </si>
  <si>
    <r>
      <rPr>
        <b/>
        <sz val="11"/>
        <color rgb="FF000000"/>
        <rFont val="Calibri"/>
      </rPr>
      <t xml:space="preserve">Anti-Corruption Action Line-PUNJAB
</t>
    </r>
    <r>
      <rPr>
        <sz val="11"/>
        <color rgb="FF000000"/>
        <rFont val="Calibri"/>
      </rPr>
      <t xml:space="preserve">
Implementation of Software solution for
Anti-Corruption Action Line including WhatsApp Chatbot.</t>
    </r>
  </si>
  <si>
    <r>
      <rPr>
        <sz val="11"/>
        <color rgb="FF000000"/>
        <rFont val="Calibri"/>
      </rPr>
      <t>(</t>
    </r>
    <r>
      <rPr>
        <b/>
        <sz val="11"/>
        <color rgb="FF000000"/>
        <rFont val="Calibri"/>
      </rPr>
      <t>18 days left</t>
    </r>
    <r>
      <rPr>
        <sz val="11"/>
        <color rgb="FF000000"/>
        <rFont val="Calibri"/>
      </rPr>
      <t>)
16/12/2022</t>
    </r>
  </si>
  <si>
    <t>&gt;Registered company
&gt;In operations since last 5 years
&gt;Minimum average turnover 2.5 crores for last 3 years
&gt;Profitable org
&gt;Networth to be positive for 2 years in last 5 years
&gt;Not ineligible under fraudulent practices
&gt;Has not been insolvent/bankrupt
&gt;None of the directors should have criminal records for unprofessional work/misrep of facts.
&gt;Valid GST
&gt;Must ensure to deposit EMD</t>
  </si>
  <si>
    <t>Similar work related to software implementation and chatbot with large private company-value &gt;45 lakh
Work to be similar to:
- Develop a WhatsApp Chatbot - for registration of complaints.
- Develop a Software solution - for viewing and processing
complaints received via ChatBot.
- Operation and Maintenance of ChatBot and Software solution
- Hosting of ChatBot and Software solution</t>
  </si>
  <si>
    <t>Check point 2 of Page 10 of Document
Scope of work is at Page 30</t>
  </si>
  <si>
    <r>
      <rPr>
        <b/>
        <sz val="11"/>
        <color rgb="FF000000"/>
        <rFont val="Calibri"/>
      </rPr>
      <t>Pre-bid meeting:</t>
    </r>
    <r>
      <rPr>
        <sz val="11"/>
        <color rgb="FF000000"/>
        <rFont val="Calibri"/>
      </rPr>
      <t xml:space="preserve"> 01/12/2022, 02:00 PM/Mohali
</t>
    </r>
    <r>
      <rPr>
        <u/>
        <sz val="11"/>
        <color rgb="FF0563C1"/>
        <rFont val="Calibri"/>
      </rPr>
      <t xml:space="preserve">
https://meet.google.com/zkr-khjx-ygc
</t>
    </r>
    <r>
      <rPr>
        <b/>
        <sz val="11"/>
        <color rgb="FF000000"/>
        <rFont val="Calibri"/>
      </rPr>
      <t>Last date to submit queries:</t>
    </r>
    <r>
      <rPr>
        <sz val="11"/>
        <color rgb="FF000000"/>
        <rFont val="Calibri"/>
      </rPr>
      <t xml:space="preserve"> 30/11
</t>
    </r>
    <r>
      <rPr>
        <b/>
        <sz val="11"/>
        <color rgb="FF000000"/>
        <rFont val="Calibri"/>
      </rPr>
      <t>Cost of tender doc: INR</t>
    </r>
    <r>
      <rPr>
        <sz val="11"/>
        <color rgb="FF000000"/>
        <rFont val="Calibri"/>
      </rPr>
      <t>1500</t>
    </r>
  </si>
  <si>
    <r>
      <rPr>
        <b/>
        <sz val="11"/>
        <color rgb="FF000000"/>
        <rFont val="Calibri"/>
      </rPr>
      <t xml:space="preserve">UCO bank-Kolkata
</t>
    </r>
    <r>
      <rPr>
        <sz val="11"/>
        <color rgb="FF000000"/>
        <rFont val="Calibri"/>
      </rPr>
      <t xml:space="preserve">
To Supply, Implement and Maintain of Digital Customer On-boarding with CRM Solution to provide 360-degree view as per the Terms &amp; Conditions</t>
    </r>
  </si>
  <si>
    <r>
      <rPr>
        <sz val="11"/>
        <color rgb="FF000000"/>
        <rFont val="Calibri"/>
      </rPr>
      <t>(</t>
    </r>
    <r>
      <rPr>
        <b/>
        <sz val="11"/>
        <color rgb="FF000000"/>
        <rFont val="Calibri"/>
      </rPr>
      <t>24 days left)</t>
    </r>
    <r>
      <rPr>
        <sz val="11"/>
        <color rgb="FF000000"/>
        <rFont val="Calibri"/>
      </rPr>
      <t>22/12/2022</t>
    </r>
  </si>
  <si>
    <t>&gt;Registered company
&gt;Minimum annual turnover of 30 crores in last 3 years
&gt; Profit making company in last 3 years
&gt; Not blacklisted
&gt;No pending legal proceedings</t>
  </si>
  <si>
    <t>&gt;The bidder should have implemented CRM solution in at least one (1) scheduled commercial Banks in India
with more than 500 branches.
&gt;The platform should be operational for minimum of 2 years in any scheduled commercial Bank having customer base
of two crore (2,00,00,000) or more</t>
  </si>
  <si>
    <t>Check point 4 and 5 page no. 11 of the document</t>
  </si>
  <si>
    <r>
      <rPr>
        <b/>
        <sz val="11"/>
        <color rgb="FF000000"/>
        <rFont val="Calibri"/>
      </rPr>
      <t>Pre bid meeting:</t>
    </r>
    <r>
      <rPr>
        <sz val="11"/>
        <color rgb="FF000000"/>
        <rFont val="Calibri"/>
      </rPr>
      <t xml:space="preserve"> To be informed
</t>
    </r>
    <r>
      <rPr>
        <b/>
        <sz val="11"/>
        <color rgb="FF000000"/>
        <rFont val="Calibri"/>
      </rPr>
      <t>Last date to submit queries</t>
    </r>
    <r>
      <rPr>
        <sz val="11"/>
        <color rgb="FF000000"/>
        <rFont val="Calibri"/>
      </rPr>
      <t xml:space="preserve">: 30/11- </t>
    </r>
    <r>
      <rPr>
        <b/>
        <sz val="11"/>
        <color rgb="FF000000"/>
        <rFont val="Calibri"/>
      </rPr>
      <t>Email sent for waiver of experience with banks</t>
    </r>
    <r>
      <rPr>
        <sz val="11"/>
        <color rgb="FF000000"/>
        <rFont val="Calibri"/>
      </rPr>
      <t xml:space="preserve">.
</t>
    </r>
    <r>
      <rPr>
        <b/>
        <sz val="11"/>
        <color rgb="FF000000"/>
        <rFont val="Calibri"/>
      </rPr>
      <t xml:space="preserve">Cost of Bid documents: </t>
    </r>
    <r>
      <rPr>
        <sz val="11"/>
        <color rgb="FF000000"/>
        <rFont val="Calibri"/>
      </rPr>
      <t>INR5000</t>
    </r>
  </si>
  <si>
    <t>13/12/2022</t>
  </si>
  <si>
    <t>&gt;Registered company
&gt;GST, PAN, ITRs for last 3 years
&gt;Certifications: 
• ISO 9001 : 2015
• ISO 27001 : 2013
&gt;MSME registration certificate
&gt;Minimum average turnover of INR80lakh for last 5 years</t>
  </si>
  <si>
    <t>&gt;CMMi level 3 or above certification
&gt;ISO 20000-1 : 2018
&gt;Experience of having successfully completed similar works during last 3 years with minimum order value of 64 Lakhs with NSE/BSE listed company.</t>
  </si>
  <si>
    <t>Check point 3 on page 21 &amp; point 9 on page 22 of document</t>
  </si>
  <si>
    <r>
      <rPr>
        <b/>
        <sz val="11"/>
        <color rgb="FF000000"/>
        <rFont val="Calibri"/>
      </rPr>
      <t>Pre bid meeting and last date of receiving queries:</t>
    </r>
    <r>
      <rPr>
        <sz val="11"/>
        <color rgb="FF000000"/>
        <rFont val="Calibri"/>
      </rPr>
      <t xml:space="preserve"> 6/12-Ghaziabad
</t>
    </r>
    <r>
      <rPr>
        <b/>
        <sz val="11"/>
        <color rgb="FF000000"/>
        <rFont val="Calibri"/>
      </rPr>
      <t>Bid docs:</t>
    </r>
    <r>
      <rPr>
        <sz val="11"/>
        <color rgb="FF000000"/>
        <rFont val="Calibri"/>
      </rPr>
      <t xml:space="preserve"> No cost</t>
    </r>
  </si>
  <si>
    <r>
      <rPr>
        <b/>
        <sz val="11"/>
        <color rgb="FF000000"/>
        <rFont val="Calibri"/>
      </rPr>
      <t xml:space="preserve">HRMS2 Directorate, Finance Department
</t>
    </r>
    <r>
      <rPr>
        <sz val="11"/>
        <color rgb="FF000000"/>
        <rFont val="Calibri"/>
      </rPr>
      <t xml:space="preserve">
To make a Human resource management Information system</t>
    </r>
  </si>
  <si>
    <t>14/11 as per Tender time; 
No details on e-procurement site</t>
  </si>
  <si>
    <t xml:space="preserve">&gt;Not blacklisted
&gt;Not bankrupt
&gt;Average Annual turnover &gt;100 crore in last 3 finan. years
&gt;Positive net worth in last 3 financial years
&gt;Office in Bangalore
&gt;Experience in software projects of value &gt;10 crore
</t>
  </si>
  <si>
    <t>&gt;Experience in rollout including the O&amp;M of software projects with project value of 15 crores and above
&gt;CMMI 3
&gt;Experience in development and rollout of at least two enterprise e-Governance projects in BESPOKE model</t>
  </si>
  <si>
    <t>Check point 4 and 6 on page no. 18 of the document</t>
  </si>
  <si>
    <r>
      <rPr>
        <b/>
        <sz val="11"/>
        <color rgb="FF000000"/>
        <rFont val="Calibri"/>
      </rPr>
      <t xml:space="preserve">Lead given by Prashank 
</t>
    </r>
    <r>
      <rPr>
        <sz val="11"/>
        <color rgb="FF000000"/>
        <rFont val="Calibri"/>
      </rPr>
      <t>No information available on website as it seems to be expired</t>
    </r>
  </si>
  <si>
    <t>GeM
Data Management and Analytics System (DMAS)</t>
  </si>
  <si>
    <r>
      <rPr>
        <b/>
        <sz val="11"/>
        <color rgb="FF000000"/>
        <rFont val="Calibri"/>
      </rPr>
      <t>Closing Date</t>
    </r>
    <r>
      <rPr>
        <sz val="11"/>
        <color rgb="FF000000"/>
        <rFont val="Calibri"/>
      </rPr>
      <t>: 28/12</t>
    </r>
  </si>
  <si>
    <r>
      <rPr>
        <sz val="11"/>
        <color rgb="FF000000"/>
        <rFont val="Calibri"/>
      </rPr>
      <t>&gt;</t>
    </r>
    <r>
      <rPr>
        <b/>
        <sz val="11"/>
        <color rgb="FF000000"/>
        <rFont val="Calibri"/>
      </rPr>
      <t xml:space="preserve">Turnover for 3 years &gt;10 Cr
&gt;ISO 9001:2015
</t>
    </r>
    <r>
      <rPr>
        <sz val="11"/>
        <color rgb="FF000000"/>
        <rFont val="Calibri"/>
      </rPr>
      <t xml:space="preserve">&gt;Company Registered
&gt;IPR and copyrights of all software developed to be given to tenderer
&gt;Technology stack without license requirement
&gt;Not Banned/Debarred. Blacklisted
&gt;PoC on NC-NC basis to assess capability.
</t>
    </r>
    <r>
      <rPr>
        <b/>
        <sz val="11"/>
        <color rgb="FF000000"/>
        <rFont val="Calibri"/>
      </rPr>
      <t xml:space="preserve">&gt;ISO 27001.
</t>
    </r>
    <r>
      <rPr>
        <sz val="11"/>
        <color rgb="FF000000"/>
        <rFont val="Calibri"/>
      </rPr>
      <t xml:space="preserve">&gt;3 person deployment onsite
&gt;Indian Official Secrets Act, 1923 applicable to all involved in pre and post bid.
</t>
    </r>
    <r>
      <rPr>
        <b/>
        <sz val="11"/>
        <color rgb="FF000000"/>
        <rFont val="Calibri"/>
      </rPr>
      <t xml:space="preserve">
Skillset Required
</t>
    </r>
    <r>
      <rPr>
        <sz val="11"/>
        <color rgb="FF000000"/>
        <rFont val="Calibri"/>
      </rPr>
      <t>&gt;5 years of development experience in using various Relational and Non-relational DBMS
&gt;Experience on working and developing of products for Linux (RHEL) OS.
&gt;Proficiency in exploitation of various inbuilt tools of Big Data Analytics and ML.
&gt;Experience in architecting, design &amp; development of large scale DBMS.
&gt;Integration of DBMS with GUI with back-end processing modules in a distributed System.
&gt;Expertise in Database testing and credibility for successful acceptance of DBMS.</t>
    </r>
  </si>
  <si>
    <r>
      <rPr>
        <sz val="11"/>
        <color rgb="FF000000"/>
        <rFont val="Calibri"/>
      </rPr>
      <t>&gt;</t>
    </r>
    <r>
      <rPr>
        <b/>
        <sz val="11"/>
        <color rgb="FF000000"/>
        <rFont val="Calibri"/>
      </rPr>
      <t xml:space="preserve">Mandatory to attend pre-bid Meeting </t>
    </r>
    <r>
      <rPr>
        <b/>
        <sz val="11"/>
        <color rgb="FFFF0000"/>
        <rFont val="Calibri"/>
      </rPr>
      <t xml:space="preserve">tomorrow(15/12)
</t>
    </r>
    <r>
      <rPr>
        <sz val="11"/>
        <color rgb="FF000000"/>
        <rFont val="Calibri"/>
      </rPr>
      <t xml:space="preserve">
&gt;1 year Experience of providing similar type of services to any Central / State Govt Organization / PSU / Public Listed Company
&gt;Waiver of experience in govt. projects given only to MSE
&gt;Firm must be accredited with atleast CMMI ML 3 Certificate.</t>
    </r>
  </si>
  <si>
    <t>Check Page 1&amp;2 for Eligibility
ATC: Page 4, 5
Skill-Set: Page 4 Point 8 (Scope Document)</t>
  </si>
  <si>
    <r>
      <rPr>
        <b/>
        <sz val="11"/>
        <color rgb="FF000000"/>
        <rFont val="Calibri"/>
      </rPr>
      <t>Pre-Bid</t>
    </r>
    <r>
      <rPr>
        <sz val="11"/>
        <color rgb="FF000000"/>
        <rFont val="Calibri"/>
      </rPr>
      <t>: 15/12 (Tomorrow)
(</t>
    </r>
    <r>
      <rPr>
        <b/>
        <sz val="11"/>
        <color rgb="FF000000"/>
        <rFont val="Calibri"/>
      </rPr>
      <t>Venue</t>
    </r>
    <r>
      <rPr>
        <sz val="11"/>
        <color rgb="FF000000"/>
        <rFont val="Calibri"/>
      </rPr>
      <t xml:space="preserve">: WESEE Annexe,
6th Floor, MTNL Building ,
Bhikaji Cama Place,
New Delhi - 110066)
</t>
    </r>
    <r>
      <rPr>
        <b/>
        <sz val="11"/>
        <color rgb="FF000000"/>
        <rFont val="Calibri"/>
      </rPr>
      <t xml:space="preserve">NO CONTACT DETAILS GIVEN </t>
    </r>
  </si>
  <si>
    <t>Deptt of Technical Education and Industrial training||Punjab Skill Development Mission
Implementation of Software
solution – Training Partners Monitoring System</t>
  </si>
  <si>
    <t>Closing Date: 30/12</t>
  </si>
  <si>
    <t>&gt;Registered company
&gt;In operations for last 3 years 
&gt;Exoerience in completing
development of webportals, MIS/ Software systems in
large private organizations
&gt;Min annual turnover &gt;1.5cr in last 3 financial years
&gt;Profitable in last 3 years
&gt;Net positive worth in 2021-2022
&gt;Not blacklisted, Not bankrupt, 
&gt;Not convicted on criminal offense
&gt;Tender fees and EMD should be deposited
&gt;ISO9001
&gt;CMMI Level 3</t>
  </si>
  <si>
    <t>1.  A. One similar work euql to or more than Rs. 1.50 Cr.
OR Two similar works not less than or equal to Rs. 75 lacs each. OR Three similar works costing not less than the amount equal to Rs. 50 lacs each.
---&gt; Available evidences to be checked once.</t>
  </si>
  <si>
    <t xml:space="preserve">Scope of work: Page 20 onwards and CMMI 3 qualification in page 9 (point 8) of </t>
  </si>
  <si>
    <t>Mr. Puneet Sethi
Mobile : +91 7888477060
Email: mis.psdm@gmail.com
19th Dec, 2022 – 11:00 AM
Punjab Skill Development Mission, SCO-149-152, 2nd Floor, Sector 17C,
Chandigarh</t>
  </si>
  <si>
    <r>
      <rPr>
        <b/>
        <sz val="11"/>
        <color rgb="FF000000"/>
        <rFont val="Calibri"/>
      </rPr>
      <t>Muncipal Corporation-Indore</t>
    </r>
    <r>
      <rPr>
        <sz val="11"/>
        <color rgb="FF000000"/>
        <rFont val="Calibri"/>
      </rPr>
      <t xml:space="preserve"> - UAD
RFP for Redesigning Development and Comprehensive Maintenance of Existing Website of IMC</t>
    </r>
  </si>
  <si>
    <t>(29 days left)
Closing: 17/1</t>
  </si>
  <si>
    <t xml:space="preserve">1. Registered for more than 5 years
2. Not blacklisted
3. ISO 9001:2015
4. ISO 27001:2013
5. Developers must have at least 8+ years of experience in the software and Website Development field
6. Annual Turnover of more than 50 L in last 3 FY
7. Should have submitted I.T Returns of the last 3 years
8. GST Registration
</t>
  </si>
  <si>
    <t xml:space="preserve">Experience of working on similar projects involving Website Design and Development/upgradation and Maintenance in all previous 5 FY 
(Page 17 T.Q 2.1)  RFPforMCWebsite.pdf
</t>
  </si>
  <si>
    <t xml:space="preserve">Eligibility criteria: Page 13
Technical score evaluation:  Page 16
*We are meeting the min. score requirements.
Scope of Work: Page 37
 RFPforMCWebsite.pdf
</t>
  </si>
  <si>
    <t xml:space="preserve">Pre-bid Meeting: @INDORE on 15/12 (already passed)
Contact:
IT Head
Phone: 0731-2436336, 0731-253 5555
Fax: 0731-2434489
Email: imcit@rediffmail.com
Please note following requirement for 20 marks:
Technical presentation with dummy designs of imcindore.gov.in.
</t>
  </si>
  <si>
    <t>The Fertilisers And Chemicals Travancore Ltd.||Head Office - FACT||Corporate materials - FACT
Mobile app development and maintenance for marketing department.</t>
  </si>
  <si>
    <t xml:space="preserve">
Closing Date: 14th Jan 2023 | 5:00PM
</t>
  </si>
  <si>
    <r>
      <rPr>
        <sz val="11"/>
        <color rgb="FF000000"/>
        <rFont val="Calibri"/>
      </rPr>
      <t xml:space="preserve">1. Organization Registered Under Companies Act and Limited Liability Partnership Act
2.  Should be a Software development organization
3. atleast 5 professionals have experience in developing mobile application
 4. Successfully executed atleast two mobile application interfacing with SAP during last 3years.
5. Value of each contract must be 20lakh or above 
6. Not blacklisted
</t>
    </r>
    <r>
      <rPr>
        <b/>
        <sz val="11"/>
        <color rgb="FF000000"/>
        <rFont val="Calibri"/>
      </rPr>
      <t xml:space="preserve">Financial Pre-Qualification Criteria:- 
</t>
    </r>
    <r>
      <rPr>
        <sz val="11"/>
        <color rgb="FF000000"/>
        <rFont val="Calibri"/>
      </rPr>
      <t xml:space="preserve">1. Minimm turnover 40 lakh.
2. Minimum Rs. 10 Lakh solvency certificate required from a Nationalised/Scheduled Bank
</t>
    </r>
  </si>
  <si>
    <t xml:space="preserve">PRE-QUALIFICATION CRITERIA: Page 1
Scope of Work: Page 12
</t>
  </si>
  <si>
    <t>Contracts Dept. Corporate Materials FACT Udyogamandal
Phone: 0484-2 56812 3 ,04A4-256A67 4
Email:iayakumarp(ofactltd.com.
anand.s@factltd.com</t>
  </si>
  <si>
    <t>Selection of agency for providing Project Monitoring and Management Information System software for MP Public Works Department PIU PWD</t>
  </si>
  <si>
    <t>11th Jan 2023  5:30:00 PM</t>
  </si>
  <si>
    <t xml:space="preserve">1. Registered under Company Act 1956/2013
3.Average Annual Turnover in last 5 financial years should be atleast INR 1.5 Crore
4.Not blacklisted
5. Not be any incidence in past of bankruptcy or any legal action for violation.
6. Minimum experience of 5 Years in software development and support.
7. Worked in Government/PSU/Corporation/Corporates
8. Work experience in development of Project monitoring and management application, Enterprise Web application, Mobile app development for infrastructure Or construction domain. 
9. Experience in atleast 2 project or more related to project monitoring &amp; management in any Government/PSU/Corporation/ Corporate. 
</t>
  </si>
  <si>
    <t>2. Bidder should have local office in bhopal.</t>
  </si>
  <si>
    <t>Qualification Criteria : Page 6
Scope of Work: Page 12</t>
  </si>
  <si>
    <t>Pre-Bid: 4 Jan, 2023; 11:30 AM
Location: Nirman Bhawan MadhyaPradesh Lok Nirman Vibhag inArera Hills, Bhopal
Divisional Project Engineer PWD PIU Bhopal, Shed No. 14A, 12 DaptherJawahar Chwok, Bhopal
Contact Email: piubhopal1@gmail.com
(Query regarding location is sent to the auth contact)</t>
  </si>
  <si>
    <r>
      <rPr>
        <b/>
        <sz val="11"/>
        <color rgb="FF000000"/>
        <rFont val="Calibri"/>
      </rPr>
      <t xml:space="preserve">	Himachal Pradesh Agriculture Development Society (JICA-ODA loan)
</t>
    </r>
    <r>
      <rPr>
        <sz val="11"/>
        <color rgb="FF000000"/>
        <rFont val="Calibri"/>
      </rPr>
      <t xml:space="preserve">
 Design, Development, Deployment of ICT based MIS to support the implementation of the HPCDP Project</t>
    </r>
  </si>
  <si>
    <t>9th Jan 2023 10:00 AM</t>
  </si>
  <si>
    <t xml:space="preserve">1. Operating for minimum past five year in IT, Software programming and information managment
2. Experience of project management and information driven decision support system using spatial and non spatial data.
3. GIS consultant/domain expert of atleast 10 years experience in spatial data management and publishing
4. Turnover of last 3 years &gt; 1.00 Cr in software development
5. 50 technical employee and above
6. CV of proposed team of technical resource person
</t>
  </si>
  <si>
    <t>Eligibility criteria: Page 19
scope of work : Page 10</t>
  </si>
  <si>
    <t xml:space="preserve">Address: 	Project Director, HPCDP-JICA-ODA, Hamirpur
Last Date for Proposal: 9th Jan 2023 through online
</t>
  </si>
  <si>
    <t>Haryana Board Corporation||HARTRON
Empanelment for Software Development and its Implementation for Group-IV</t>
  </si>
  <si>
    <t>(48 days)
2/28/2023  3:00:00 PM</t>
  </si>
  <si>
    <r>
      <rPr>
        <sz val="11"/>
        <color rgb="FF000000"/>
        <rFont val="Calibri"/>
      </rPr>
      <t>1. Registered under Company Act 1956/2013
2. Operating in S/W development and implementation support field in the last 2 FY
3. Average sales turnover</t>
    </r>
    <r>
      <rPr>
        <b/>
        <sz val="11"/>
        <color rgb="FF000000"/>
        <rFont val="Calibri"/>
      </rPr>
      <t xml:space="preserve"> &gt;= 50</t>
    </r>
    <r>
      <rPr>
        <sz val="11"/>
        <color rgb="FF000000"/>
        <rFont val="Calibri"/>
      </rPr>
      <t xml:space="preserve"> Cr in last 2 FY
4. Average Turnover from S/W Development &amp; its Implementation </t>
    </r>
    <r>
      <rPr>
        <b/>
        <sz val="11"/>
        <color rgb="FF000000"/>
        <rFont val="Calibri"/>
      </rPr>
      <t>25 Cr</t>
    </r>
    <r>
      <rPr>
        <sz val="11"/>
        <color rgb="FF000000"/>
        <rFont val="Calibri"/>
      </rPr>
      <t xml:space="preserve"> in each last 2 FY
5. At least 2 engagements in S/W Development and its Implementation in a large Enterprise
6. Not Blacklisted
7. Office in Panchkula/Delhi NCR</t>
    </r>
  </si>
  <si>
    <t xml:space="preserve">Evaluation Criteria: Page 8
Technical Evaluation: Page 9
Scope of Work:  Page 4
</t>
  </si>
  <si>
    <t>Managing Director,
Haryana State Electronics Development Corporation Ltd.,
HARTRON Bhawan, Bays 73-76, Sector-2, Panchkula.
Phone:0172-2560442
E-mail:rajendarhartron@gmail.com
Pre-Bid: Not mentioned</t>
  </si>
  <si>
    <t>Haryana Government||Maharaja Agrasen Medical College
Design Development, Implementation and maintenance of HIMS Software</t>
  </si>
  <si>
    <t>(28 days)
2/22/2023  05:00 PM</t>
  </si>
  <si>
    <t>1. Registered with Companies Act, 1956 for more than 05 years.
2. Turnover &gt;5Cr for last 3FY.
3. Turnover must be from Software Development/Support services.
4. Positive net profit of the company for each of the last 3FY.
5. ISO 9001:2015
6. ISO 27001:2013
7. ISO 20000:2018
8. Not Blacklisted</t>
  </si>
  <si>
    <t>1. Experience of developing and implementing HIMS Software for the last five years.
(The software must have been installed and successfully &amp; running in at least 5 different hospitals of separate organization for the last 3 years with a minimum hospital bed capacity of 200 Beds each.)</t>
  </si>
  <si>
    <t>Qualification Criterion: Page 6
Scope of Work: Page 9</t>
  </si>
  <si>
    <t>Pre-Bid: 31-Jan-202310:00 AM
Pre-Bid Address: Maharaja Agrasen MedicalCollege Agroha (Hisar)
Email: tender@mamc.edu.in 
Ph. 08930200824</t>
  </si>
  <si>
    <t xml:space="preserve">Indian Infrastructure
Finance Company Ltd. 
Upgradation of Enterprise Resource Planning 
(ERP) System </t>
  </si>
  <si>
    <t>(38 days)
3/6/2023</t>
  </si>
  <si>
    <t xml:space="preserve">1. Registered Companies 
2. PF, PAN GST Registration certificate
3. Certified/authorized partner of the respective OEM for the ERP solution given
4.  Average turnover atleast 25crore(for MSME, non-MSME-500cr) in last 5 year 
5.  CMMI certification is exempted.
6. Not Blacklisted
7. Office in Delhi NCR
8. At least 100 full time ERP professionals
</t>
  </si>
  <si>
    <t>1. The project will become best suitable if a consortium with any hardware provider is done. Is it feasible to do the same?
2. Eligiblity Criteria for consortium partner:
-&gt; Bidder/consortium partner should ongoing implementation for Loan Management Solution in last  5year
-&gt; Bidder/consortium partner should ongoing implementation for Treasury in Management including Forex &amp; Hedging Solution</t>
  </si>
  <si>
    <t>Qualification Criteria: 37 Page
Scope of work: 72page</t>
  </si>
  <si>
    <t>Pre-bid Meeting: 7th Feb 2023 15:00
Pre-Bid submission end date: 6th March 2023 15:00
Support Contact: 011-24662682; 011-24662887
Bid- Submission Support: 
Helpdesk Nos.
1800-419-3436/1800-102-3436
E-Mail – helpdesk-gem@gov.in
Address: IIFCL, Plate A &amp; B, 5thFloor, Office Block 2, NBCC Towers, East Kidwai Nagar, New Delhi-110 023.</t>
  </si>
  <si>
    <t>Docs Reference</t>
  </si>
  <si>
    <t>Directorate of Health Services||National Health Mission- MP
Request for Proposal for Selection of an Agency for the Upgradation Customization, Development, Operation, and Maintenance of the MP ANMOL portal and Application for National Health Mission, Madhya Pradesh</t>
  </si>
  <si>
    <t>(21 days)
2/28/2023</t>
  </si>
  <si>
    <t>1. Registered company
2. Should be engaged in IT/ ITeS/ IT-FMS related services in last 3 FY (2019-20, 2020-21, 2021-22) and further.
3. Experience of providing IT/ITeS/IT-FMS/e-governance related services for last 2 FY for atleast 2 projects with min contract value of INR 1 Cr. 
4. Experience of at least 1 completed project with min contract val of 50 Lakhs for developing portals/dashboards/web and mobile base apps for either public or pvt sector org across any of last 5 FY and also upto 31 Jan 23
5. ISO 9001:2015
6. ISO 27001:2013
7. ISO 20000: 2021
8. Avg Annual TO i last 3 FY: 10 Cr.
9. Positive net worth in last 3 FY
10. Not Blacklisted
11. No pending petitions against bidder</t>
  </si>
  <si>
    <t>1. Atleast 1 one the experience contract should be undertaken for Central or State Govt., PSUs, CPSUs, SPSUs for provision of IT/ ITeS/ IT-FMS/ e-governance related services in in any of the last 5 FY (i.e., 2017-18, 2018-19, 2019-20, 2020-21 and 2021-22) and also up to 31st January 2023</t>
  </si>
  <si>
    <t>PRE-QUALIFICATION CRITERIA: Page 25
Technical Evaluation: Page 27
Scope of Work: Page 33</t>
  </si>
  <si>
    <r>
      <rPr>
        <b/>
        <sz val="11"/>
        <color rgb="FF000000"/>
        <rFont val="Calibri"/>
      </rPr>
      <t>Pre-bid</t>
    </r>
    <r>
      <rPr>
        <sz val="11"/>
        <color rgb="FF000000"/>
        <rFont val="Calibri"/>
      </rPr>
      <t xml:space="preserve">: Date and Time: 14th February 2023 03:00 PM India
</t>
    </r>
    <r>
      <rPr>
        <b/>
        <sz val="11"/>
        <color rgb="FF000000"/>
        <rFont val="Calibri"/>
      </rPr>
      <t>Meeting Link</t>
    </r>
    <r>
      <rPr>
        <sz val="11"/>
        <color rgb="FF000000"/>
        <rFont val="Calibri"/>
      </rPr>
      <t xml:space="preserve">: https://mp-nhm.webex.com/mp-nhm/j.php?MTID=md9ac8e072e6d4c15d59ab767fe30f562
Meeting ID: 2519 630 4030
Password: 3390
</t>
    </r>
  </si>
  <si>
    <t xml:space="preserve">Settlement Commissioner and Director of Land Records (M.S.) Pune||Deputy Collector and State Co-Ordinator e-Ferfar Pune
RFP for selection of software development agency for Development of Revenue Record Registry Framework, including Support and Maintenance for Department of Land Records, Maharashtra State, Pune
</t>
  </si>
  <si>
    <t>(22 days)
2/27/2023</t>
  </si>
  <si>
    <t>1. Registered Company
2. Offices in Maharashtra 
3. Avg Annual TO of 3crore in last 3 years
4. Positive net worth 
5. Not Blacklisted
6. Should not have withdrawn the similar govt project 
7. should have on their payroll staff strength of minimum 20 IT Professionals
8. Power of attorney
9. Experience of IT project with scope of work not limited to software and mobile development.</t>
  </si>
  <si>
    <t xml:space="preserve">1. Atlease 3 IT projects with minimum value of 25lakh
for each project,with scope of work but not limited to software development, mobile development.
2. Valid SEI CMMI level 3 certification 
</t>
  </si>
  <si>
    <t>PRE-QUALIFICATION CRITERIA: Page 11
Technical Evaluation: Page 23
Scope of work: Page 37</t>
  </si>
  <si>
    <r>
      <rPr>
        <b/>
        <sz val="11"/>
        <color rgb="FF000000"/>
        <rFont val="Calibri"/>
      </rPr>
      <t>Pre Bid Meeting Date</t>
    </r>
    <r>
      <rPr>
        <sz val="11"/>
        <color rgb="FF000000"/>
        <rFont val="Calibri"/>
      </rPr>
      <t xml:space="preserve">	14-Feb-2023 11:30 AM 
</t>
    </r>
    <r>
      <rPr>
        <b/>
        <sz val="11"/>
        <color rgb="FF000000"/>
        <rFont val="Calibri"/>
      </rPr>
      <t xml:space="preserve">Pre Bid Meeting Place	</t>
    </r>
    <r>
      <rPr>
        <sz val="11"/>
        <color rgb="FF000000"/>
        <rFont val="Calibri"/>
      </rPr>
      <t xml:space="preserve">SCDLR Pune Office
</t>
    </r>
    <r>
      <rPr>
        <b/>
        <sz val="11"/>
        <color rgb="FF000000"/>
        <rFont val="Calibri"/>
      </rPr>
      <t>Bid Submission End Date</t>
    </r>
    <r>
      <rPr>
        <sz val="11"/>
        <color rgb="FF000000"/>
        <rFont val="Calibri"/>
      </rPr>
      <t xml:space="preserve">	27-Feb-2023 12:00 PM
</t>
    </r>
    <r>
      <rPr>
        <b/>
        <sz val="11"/>
        <color rgb="FF000000"/>
        <rFont val="Calibri"/>
      </rPr>
      <t>Clarification End Date</t>
    </r>
    <r>
      <rPr>
        <sz val="11"/>
        <color rgb="FF000000"/>
        <rFont val="Calibri"/>
      </rPr>
      <t xml:space="preserve">	13-Feb-2023 11:30 AM </t>
    </r>
  </si>
  <si>
    <t>UPPCL- Engagement of an Agency for Monetizing
UPPCL Website/Web portal/Mobile App 
through Advertisement</t>
  </si>
  <si>
    <t>(14 days)
3/1/2023</t>
  </si>
  <si>
    <t>1.  Registered Company
2.  Should have registration certificates like GST, Pan Card, and PF, ESI.
3.  Not Blacklisted.
4.  Should not be litigation with UPPCL or its Discoms.
5.  Avg Annual Turn Over of 5 crore in last 3 years.
6.  Should have positive net worth.
7.  Should have ISO 27001:2013 or above or  CMMI Level III
8.  Must have 1 project of similar nature  of value 1 crore.
9.  Must have 2 project of similar nature of value 60 lakh.
10. Must have 3 project of similar nature of value 40 lakh
11. Must have 10 employees in the area of Social/Digital Media Management including Supply Side Platform or Sell Side Platform
12. Must submit Manufacturer's Authorization Forms for all OEMs product proposed by the Bidder.
13. Availability of technical resources that have a knowledge of SSP/Digital Promotion/Direct advertisement deals on website projects.
14. Manpower should be 50-150 technical resources.</t>
  </si>
  <si>
    <t xml:space="preserve">1. Should have CMMi Level III Certificate.
</t>
  </si>
  <si>
    <t xml:space="preserve">PRE-QUALIFICATION CRITERIA: Page 14
Technical Evaluation: Page 16
Scope of Work: Page 25
</t>
  </si>
  <si>
    <t>Pre Bid Meeting Date	14-Feb-2023 12:00 PM 
Pre Bid Meeting Place	Video Conferencing
Bid Submission End Date	01-Mar-2023 17:00 PM
Phone No.- 0522- 2218360</t>
  </si>
  <si>
    <t>https://etender.up.nic.in/nicgep/app?component=%24DirectLink&amp;page=FrontEndViewTender&amp;service=direct&amp;session=T&amp;sp=SrA37IMkuFnWGbiySIwVqog%3D%3D</t>
  </si>
  <si>
    <t>FTII
Maintenance of Website for Three Years. Website Securitv Audit and
Website Qualitv Certificate.</t>
  </si>
  <si>
    <t>(16 days)
3/9/2023</t>
  </si>
  <si>
    <t xml:space="preserve">1. Registered Company.
2. Must have 3 years of Work experience in web related software design, development and uploading and maintenance.
3. Organization should have minimum turnover of Rs.20 lakhs for the first three financial years.(20182019, 2019-2020 and 2020-2021).
4. Should not be blacklisted.
</t>
  </si>
  <si>
    <t>1. OEM AUthorization Certificate if not OEM of products offered.
2 Similar projects for State or central government.
----Note----Mismatch in TO requirement</t>
  </si>
  <si>
    <t>Pre-Bid Meeting: FTII, Pune on 28-Feb-2023 at 16:00PM
Bid Submission End Date: 9-Mar-2023 till 15:00PM
Contact: multimedia@ftii.ac.in</t>
  </si>
  <si>
    <t>https://www.tendertiger.com/viewtenderdetailnd.aspx?sbno=248321&amp;sbencp=2da274524314dc13d&amp;SrN=59748953&amp;encp=f06c78b8ab9499284&amp;fav=1&amp;MailTrackId=27701256&amp;MailTrackEncp=7c074c405970561ef</t>
  </si>
  <si>
    <t>LIC
For Insurance Premium Collections
(Premium Point) System Modernization
(Agile Development Services and DevSecOps with CI/CD pipelines)</t>
  </si>
  <si>
    <t>(16 days)
3/15/2023</t>
  </si>
  <si>
    <t>1. Registered Company.
2. Should have atleast 100 full time Software Developers/Software Engineers.
3.  Should have  proven experience demonstrated by completed assignments 
involving:
a. API-driven development
b. Java, Spring and Hibernate
c. API Manager/Gateway
d. Identity and Access Management
e. DevOps and CI-CD
f. Development of Modern and Scalable Platform.
4. Should not be blacklisted.</t>
  </si>
  <si>
    <t xml:space="preserve">PRE-QUALIFICATION CRITERIA: Page 18
Technical Evaluation: Page: 21
</t>
  </si>
  <si>
    <t>Pre-Bid Meeting: Online on Webex on 16-02-2023 at 15:00PM
Bid Submission End Date: 15-Mar-2023 till 15:00PM
Contact: Mr. Saurav Ganguli ( 022-67090427, 9831386250)
Mr. Anoop Kumar (022-67090507 , 9969203444)</t>
  </si>
  <si>
    <t>https://www.tendertiger.com/viewtenderdetailnd.aspx?sbno=248321&amp;sbencp=2da274524314dc13d&amp;SrN=59509739&amp;encp=0e1947cd3816988c6&amp;fav=1&amp;MailTrackId=27802426&amp;MailTrackEncp=236056f9c8b176a35</t>
  </si>
  <si>
    <t>Punjab State e-Governance Society
Tender for Software Development, Operations and Maintenance of State Admission Portal</t>
  </si>
  <si>
    <t>(21 days)
3/27/2023</t>
  </si>
  <si>
    <t>1. Registered Company.
2. In operation since last 5 years
3. worked on similar project for large pvt. organization.
4. In case of one project,cost &gt;60 lakh, for 2 projects, Cost &gt;45 lakh, for 3 projects, cost &gt;30 lakh.
5. Should have minimum annual average turnover of 4 crores for last three years.
6. Net worth should be positive.
7.Should be ISO 9001 Certified.
8. Not Blacklisted/ Bankrupted/Fraduluent.
9. Valid GST and PAN.
10. Provide Hosting over cloud environment.
11. Provide optimal hosting, including firewall, SSL, Routing, Subnets, Antivirus, AntiMalware, Anti DDos Mitigation etc.</t>
  </si>
  <si>
    <t xml:space="preserve">PRE-QUALIFICATION CRITERIA: Page 9
Technical Evaluation: Page 12
Scope of Work: Page 30
</t>
  </si>
  <si>
    <t>Vikas Sehgal (9872633880) Email: vikas.sehgal@punjab.gov.in</t>
  </si>
  <si>
    <t>https://eproc.punjab.gov.in/nicgep/app?component=%24DirectLink&amp;page=FrontEndViewTender&amp;service=direct&amp;session=T&amp;sp=StUgGPZuZu%2FjdNTvjMwS75g%3D%3D</t>
  </si>
  <si>
    <t>Telecom Regulatory Authority of India</t>
  </si>
  <si>
    <t>(23 days)
3/31/2023</t>
  </si>
  <si>
    <t xml:space="preserve">1. RFE Document signed by seal.
2. Authority Letter.
3. Processing fee.
4. Bid Security.
5. Registered Company.
6. Valid GST and PAN.
7. Must have completed ICT based solution/project in the last 5 years.
8. Minimum Average Financial Turnover of 5 crores in ICT based solution/project.
9. Positive Net worth.
10. Should not be blacklisted.
11. Must have a office in Delhi/NCR.
</t>
  </si>
  <si>
    <t>CMMI Certification</t>
  </si>
  <si>
    <t>Scope of work :Page 2
Pre-Qualification: Page 19
Technical Evaluation: Page 23</t>
  </si>
  <si>
    <t>Bid End Date : 31-03-2023 12:30:00
Pre-Bid Date and Time : 13-03-2023 03:30:00
Pre-Bid Venue: Offline/Online
Office: Telecom Regulatory Authority of India
Mahanagar Doorsanchar Bhawan (next to Zakir Hussain College)
Jawaharlal Nehru Marg (Old Minto Road)
New Delhi: 110 002</t>
  </si>
  <si>
    <t>Ministry Of Defence</t>
  </si>
  <si>
    <t>(18 days)
3/28/2023</t>
  </si>
  <si>
    <t>1.Scanned Copy of GST certification
2.Scanned copy of Firm Registration Certificate.
3.Scanned copy of solvency certificate issued by any Nationalized bank.
4.Must have an office at NCT of Delhi.
5. Firm is not Blacklisted.
6. Average Annual Turnover should be 8 lakhs in last three years
7. Should have executed similar work not less than 15 lakhs.</t>
  </si>
  <si>
    <t>Scope of work: Page 9
Eligibility Criteria: Page 3
Technical Evaluation: Page 7</t>
  </si>
  <si>
    <t xml:space="preserve">Bid End Date : 28-03-2023 15:00:00
Contact Details:  011- 25695450
</t>
  </si>
  <si>
    <t xml:space="preserve">
Principal Accountant General (A&amp;E), Haryana
Change management in odms change management in odms (online diary management system)</t>
  </si>
  <si>
    <t>(15 days)
3/28/2023</t>
  </si>
  <si>
    <t>1. Registered with Income Tax and GST.
2. Balance sheet for last three financial year.
3. Must have executed mimmum 5 similar projects.
4. Should not Blacklisted.
5. Should have office in chandigarh or in Tri-city.
6. Turnover should be 50 Lakh for last three financial year.
7. Firm has an expertise with Java, PHP or Oracle server.</t>
  </si>
  <si>
    <t>Scope of work: Page 3
Eligibility Criteria: Page 6
Technical Evaluation: Page 7</t>
  </si>
  <si>
    <t>Bid End Date : 28-03-2023 by 12:00
Pre-Bid Date and Time : 14-03-2023 11:00:00
Pre-Bid Venue: Offline/Online
Office: Principal Accountant General (A&amp;E), Haryana
Plot No. 4 &amp; 5, Sector-33B, Chandigarh-160020</t>
  </si>
  <si>
    <t>RajCOMP Info Services Limited
Selection of Agency for Study, Design, 
Development, Implementation &amp; Maintenance 
to revamp the Website of Department of 
Tourism, Government of Rajasthan</t>
  </si>
  <si>
    <t>(24 days)
4/28/2023</t>
  </si>
  <si>
    <t>1. Registered Company
2. Average Annual Turnover of the bidder from Web Application / Software Development for the last 5 financial years should be atleast 5 cr.
3. Positive Network by 31-March-2023.
4. Must have enageged or completed or in the FMS Phase(Portal/Application status should be go live) for atleast  No. of project for Government Department, Government Agency /PSU/Company (having 1000 cr. turnover)
a) One Project of development/ deployment/ implementation/ customization and O&amp;M of Web-Portal/ Application based on AEM of Rs. 2.0 crores or higher  OR
b) Two projects of development/ deployment/ implementation/ customization and O&amp;M of Web-Portal/ Application based on AEM of Rs. 1.0 crores or higher per project.   OR
c) Three projects of development/ deployment/ implementation/ customization and O&amp;M of Web-Portal/ Application based on AEM value of Rs. 70 lacs or higher per project.
5. Should have valid PAN or GST.
6. Should not be bankrupt or blacklisted.</t>
  </si>
  <si>
    <t>Email sent to authorities</t>
  </si>
  <si>
    <t xml:space="preserve">Scope of work: Page 19
Eligibility Criteria: Page 15
</t>
  </si>
  <si>
    <t>Bid End Date : 24-04-2023 by 03:00
Pre-Bid Date and Time : 29-03-2023 04:00:00
Pre-Bid Venue: Offline
Office: First Floor, Yojana Bhawan, C-Block, Tilak Marg, C-Scheme, Jaipur-302005 (Raj.)</t>
  </si>
  <si>
    <t>Indian Council Of Medical Research (ICMR)
Development Migration Renovation of website to make it Responsive and GIGW Complaint</t>
  </si>
  <si>
    <t>(14 Days)
4/21/2023</t>
  </si>
  <si>
    <t>1. Avg TO &gt;81lakhs for last 3 years.
2. Three years of Past Experience Required for same/similar service.</t>
  </si>
  <si>
    <t>1. Should have regularly supplied similar products to 
govt/PSUs/public listed for value of atleast 1.3 crores.
2. MSEs, MIIs and start ups will be given purchase preference.</t>
  </si>
  <si>
    <t>Scope of work</t>
  </si>
  <si>
    <t>Bid End Date : 21-04-2023 21:00:00
Estimated Bid Value: 2.7 crores
Pre-Bid: VC. Link will be publish on GeM and ICMR
website. Date will be announced later
Office: ICMR, RAMALINGASWAMI BHAWAN,
ANSARI NAGAR, NEW DELHI</t>
  </si>
  <si>
    <t>Ministry Of Environment Forest And Climate Change
Development of epr portal under e waste management</t>
  </si>
  <si>
    <t>(15 Days)
9/5/2023</t>
  </si>
  <si>
    <t xml:space="preserve">1. Registered Company
2. Must have PAN, GST, CIN.
3. Avg TO 2Cr. for last 5 years.
4. Should have developed atleast 3 software project for any organization in last 7 Years
5. Not Blacklisted </t>
  </si>
  <si>
    <t>1. work award order letter during last 7years in software development
2. Satisfactory work completion letters by same organzation
3. Experience of having successfully completed similar work(s)/web portal development project
* Three similar completed works costing &gt;Rs.2.5 Cr each
* Two similar completed works costing &gt; Rs. 2.5Cr each
* One similar completed work costing &gt;Rs.4Crore 
4. More than 500 developers</t>
  </si>
  <si>
    <t>Scope of work: Page 4 
Bid-qualification: Page 27
Question: Point 3 &amp; 5 in Page 32</t>
  </si>
  <si>
    <t xml:space="preserve">Bid End Date: 09-05-2023 16:00:00
Estimated Bid Value: 6.5 crores
Pre-Bid:  02-05-2023 11:00:00
Training Hall, Ground Floor, Parivesh Bhawan, East Arjun Nagar, Delhi 110032. Contact Person-Sh Tarun Darbari, Sc-E, Contact No.-01143102412.
</t>
  </si>
  <si>
    <t xml:space="preserve">HARTRON-MICADA
Selection of Service Provider for Development and Enhancement of
MICADA 2.1 Portal and Operations &amp; Maintenance of MICADA 2.0 Portal 
</t>
  </si>
  <si>
    <t>(15 days)
31/05/2023</t>
  </si>
  <si>
    <r>
      <rPr>
        <b/>
        <u/>
        <sz val="11"/>
        <color rgb="FF000000"/>
        <rFont val="Calibri"/>
      </rPr>
      <t>Eligibility:</t>
    </r>
    <r>
      <rPr>
        <sz val="11"/>
        <color rgb="FF000000"/>
        <rFont val="Calibri"/>
      </rPr>
      <t xml:space="preserve"> Should be empanelled with HARTRON
</t>
    </r>
    <r>
      <rPr>
        <b/>
        <u/>
        <sz val="11"/>
        <color rgb="FF000000"/>
        <rFont val="Calibri"/>
      </rPr>
      <t xml:space="preserve">Technical evaluation:
</t>
    </r>
    <r>
      <rPr>
        <sz val="11"/>
        <color rgb="FF000000"/>
        <rFont val="Calibri"/>
      </rPr>
      <t>1. TO&gt;5cr : 10 Marks
2. Resource deployment plan and structure: 26 Marks
3. Exp. in design &amp;
development and operation of the
web portals/web application in Govt./PSU(max. 5): 2 marks for each max-10 marks.
4. Experience of similar domain in Govt./PSU-10 Marks
5. Project plan and approach-24 Marks
6. Technical Presentation-20 Marks</t>
    </r>
  </si>
  <si>
    <t>Though we are eligible to apply however, loosing significant marks for govt. experience in similar domain.</t>
  </si>
  <si>
    <t>Scope of work:  
Govt. exp: Page 39, point 3:</t>
  </si>
  <si>
    <r>
      <rPr>
        <b/>
        <sz val="11"/>
        <color rgb="FF000000"/>
        <rFont val="Calibri"/>
      </rPr>
      <t>Pre-bid:</t>
    </r>
    <r>
      <rPr>
        <sz val="11"/>
        <color rgb="FF000000"/>
        <rFont val="Calibri"/>
      </rPr>
      <t xml:space="preserve"> 17/05, 02:30PM
</t>
    </r>
    <r>
      <rPr>
        <b/>
        <sz val="11"/>
        <color rgb="FF000000"/>
        <rFont val="Calibri"/>
      </rPr>
      <t>Address:</t>
    </r>
    <r>
      <rPr>
        <sz val="11"/>
        <color rgb="FF000000"/>
        <rFont val="Calibri"/>
      </rPr>
      <t xml:space="preserve"> The pre-bid meeting will be held on 17.05.2023 at 14:30 Hours at HARTRON Bhawan, Bays # 73-76, Sector 2, Panchkula.</t>
    </r>
  </si>
  <si>
    <t>Closing Date</t>
  </si>
  <si>
    <t>Criterias we qualify</t>
  </si>
  <si>
    <t>Qualification criteria in question</t>
  </si>
  <si>
    <t>References</t>
  </si>
  <si>
    <t>RFP.pdf</t>
  </si>
  <si>
    <t>Address</t>
  </si>
  <si>
    <t>Description</t>
  </si>
  <si>
    <t>Timeline</t>
  </si>
  <si>
    <t>General Requirements</t>
  </si>
  <si>
    <t>Tenders filed</t>
  </si>
  <si>
    <t>Tenders cancelled</t>
  </si>
  <si>
    <t>Tenders rejected</t>
  </si>
  <si>
    <t>Both qualified for financial bid round, rejected on composite scores.</t>
  </si>
  <si>
    <t>Tender selected</t>
  </si>
  <si>
    <t>Intimation received on 20/04</t>
  </si>
  <si>
    <t>Refund received</t>
  </si>
  <si>
    <t>Refund waited for eGovernance(result intimated on 20/04)</t>
  </si>
  <si>
    <t>MOM- 05/05/2023</t>
  </si>
  <si>
    <t>Attendees: Anil Pahal, Vaibhav Khurana, Swati Shukla</t>
  </si>
  <si>
    <t>1. AP to confirm about the 'Completion letter' from TATA AIG.
2. PIMCO letter draft to be sent by VK following to be included in comp. letters:
- Cost of project
- Project names
- Nature of work 
- Timeline.
3. Timeline of letters should be within last 2 years to cater to multiple tenders' experience requirements.
4. Last date of MEFCC is 09/05-No corrigendum is being issued.
5. VK to communicate with MEFCC if we can submit completion letters later after 09/05(self dec can be given in this regard)
6. Both TATAAIG and PIMCO 'completion cert' obtaining process to be pursued even if MEFCC is not filed.
7. Confirmed from A/c-Nitin, they need atleast 24 hours for payments and 1-2 days for accounts documentations.</t>
  </si>
  <si>
    <t>FILE THE MEFCC EVEN IF WE DONT HAVE DOCS</t>
  </si>
  <si>
    <t>I said ki lot of docs and proces sto be followed.....signing scanning and digital signatures</t>
  </si>
  <si>
    <t>If we get at pkl we can file it</t>
  </si>
  <si>
    <t>TATAAIG AP will take over</t>
  </si>
  <si>
    <t>&gt;10 CR</t>
  </si>
  <si>
    <t>PIMCO - VK</t>
  </si>
  <si>
    <t>&gt;100CR</t>
  </si>
  <si>
    <t>Tender name</t>
  </si>
  <si>
    <t>Location</t>
  </si>
  <si>
    <t>Qualification in question</t>
  </si>
  <si>
    <t>Instant markets</t>
  </si>
  <si>
    <r>
      <rPr>
        <sz val="11"/>
        <color rgb="FF000000"/>
        <rFont val="Calibri"/>
      </rPr>
      <t xml:space="preserve">CONSOLIDATED </t>
    </r>
    <r>
      <rPr>
        <b/>
        <sz val="11"/>
        <color rgb="FF000000"/>
        <rFont val="Calibri"/>
      </rPr>
      <t>ENTERPRISE RESOURCE PLANNING SYSTEM</t>
    </r>
    <r>
      <rPr>
        <sz val="11"/>
        <color rgb="FF000000"/>
        <rFont val="Calibri"/>
      </rPr>
      <t xml:space="preserve"> SELECTION</t>
    </r>
  </si>
  <si>
    <t>200 N River Street, Montgomery, IL 60538</t>
  </si>
  <si>
    <t>The Village of Montgomery is interested in soliciting proposals from qualified providers of ERP software for municipalities whose productoffering meets or exceeds current Village requirements and whose complete product offering provides a robust solution set that will allow theVillage of Montgomery to continue to leverage this investment well into the future as the needs of the Village grow and evolve.</t>
  </si>
  <si>
    <t>Must have provided software for at least one previous public sector organization in the State
of Illinois, preferably in the Chicago-metropolitan area, of similar size and complexity; Refer Document for 'Minimum Criteria checklist', Page 21.
Also, various requirements from software are mentioned in this document, page 5 onwards.</t>
  </si>
  <si>
    <t>https://www.instantmarkets.com/view/ID114402599660926152212241426493392900339?token=161720971223536672444734113746727538820&amp;utm_source=opprecommendation&amp;utm_medium=email</t>
  </si>
  <si>
    <t>RFP FOR ENTERPRISE RESOURCE PLANNING SYSTEM (ERP)</t>
  </si>
  <si>
    <t>101 City Hall Plaza, Durham, NC 27701</t>
  </si>
  <si>
    <t>Enterprise solution software that includes Enterprise Resource Planning (ERP) and Utility Billing capabilities to the
City of Durham in North Carolina (the City)</t>
  </si>
  <si>
    <t>6/1/2023
Last date to submit queries: December 9, 2022 @ 2:00 PM ET</t>
  </si>
  <si>
    <t xml:space="preserve">Either entity should be organized under NC state OR have a
certificate of authority from the N. C. Secretary of State to transact business in North Carolina.
point 3.17, Page no. 12. of document.
</t>
  </si>
  <si>
    <t>It is noted that there is no other mandatory criteria given however, they will weigh all factors  as per the document and select the proponent:
Evaluation Criteria Weighting
1. Functional Fit 45%
2. Technical Requirements 15%
3. Proponent Strength &amp; Viability 15%
4. Maintenance &amp; Support 15%
5. Pricing 10%</t>
  </si>
  <si>
    <t>https://www.instantmarkets.com/view/ID96334686146835439621381524861668202275?token=161720971223536672444734113746727538820&amp;utm_source=opprecommendation&amp;utm_medium=email</t>
  </si>
  <si>
    <t>Drupal Web Development Service</t>
  </si>
  <si>
    <t>205 Jefferson St Eighth Floor Jefferson City MO, 65101 United States</t>
  </si>
  <si>
    <t>The contractor shall provide the provision of Drupal Web Development Services for the Missouri Department of Conservation (MDC), Missouri Department of Transportation (MoDOT), and Information Technology Services Division (ITSD) (hereinafter collectively referred to as the “state agency”), in accordance with the provisions and requirements stated herein, and to the sole satisfaction of the state agency.
Unless otherwise specified herein, the contractor shall furnish all material, labor, facilities, equipment, and supplies necessary to perform the services required herein.
The resulting contract shall be for the provision of web development and consulting services only.</t>
  </si>
  <si>
    <t>5th Jan 2023 2:00PM</t>
  </si>
  <si>
    <t>A minimum of five (5) years total of documented and verifiable Drupal Web Development experience with a minimum of one (1) of the following: a fish and wildlife agency, a federal government agency, a state government agency, a municipal government agency, or a state college, or a university.
The contractor must stay knowledgeable of and must abide by the Missouri Enterprise Architecture standards for all related work resulting from the contract.
All variances from the Missouri Enterprise Architecture Standards are dependent upon approval by the ITSD Director in conjunction with appropriate ITSD senior management.</t>
  </si>
  <si>
    <t>https://www.instantmarkets.com/view/ID292703544003305703359416350074030709566/Drupal_Web_Development_Services</t>
  </si>
  <si>
    <t>By CEO</t>
  </si>
  <si>
    <t>State of Missouri- IT Division</t>
  </si>
  <si>
    <t>OA/ITSD, PO BOX 0809, JEFFERSON CITY, MO 65102-0809</t>
  </si>
  <si>
    <t>Purchase of Software Defined Cloud Interconnect (SDCI) services for the State of Missouri, Office of Administration, Information Technologies Services Division</t>
  </si>
  <si>
    <t xml:space="preserve">01/24/2023 AT 2:00 PM
</t>
  </si>
  <si>
    <t>Mar/23</t>
  </si>
  <si>
    <t>Apr/23</t>
  </si>
  <si>
    <t>May/23</t>
  </si>
  <si>
    <t>(blank)</t>
  </si>
  <si>
    <t>Count of Source</t>
  </si>
  <si>
    <t>Count of Last 30 days</t>
  </si>
  <si>
    <t>Count of Primary reason of disqualification</t>
  </si>
  <si>
    <t>Count of EMD</t>
  </si>
  <si>
    <t>Round 1 and 2 qualified, financial bid opened, final results awaited.
As per tender document "EMD of unsuccessful bidders will be refunded as promptly as possible".
Final round disqualified on 10th March</t>
  </si>
  <si>
    <t>Hard copy submitted at Panchkula office ON 01/03/2023.
If selected, INR 1,00,000 should be paid as yearly fees. Empanelment is for 2 years.
Application fees of 31k is not refundable.
Received selection intimation on 20/04</t>
  </si>
  <si>
    <t>Refund of EMD received on 10/01. Confirmed by accounts team on mail.</t>
  </si>
  <si>
    <t>Refund received, 
 Account teams
 Confirmed on 11/05, 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</si>
</sst>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409]h:mm\ AM/PM;@"/>
  </numFmts>
  <fonts count="42">
    <font>
      <sz val="11"/>
      <color theme="1"/>
      <name val="Calibri"/>
      <family val="2"/>
      <scheme val="minor"/>
    </font>
    <font>
      <sz val="11"/>
      <color rgb="FFFF0000"/>
      <name val="Calibri"/>
      <family val="2"/>
      <scheme val="minor"/>
    </font>
    <font>
      <b/>
      <sz val="11"/>
      <color theme="1"/>
      <name val="Calibri"/>
      <family val="2"/>
      <scheme val="minor"/>
    </font>
    <font>
      <sz val="10"/>
      <name val="Arial"/>
      <family val="2"/>
    </font>
    <font>
      <u/>
      <sz val="11"/>
      <color theme="10"/>
      <name val="Calibri"/>
      <family val="2"/>
      <scheme val="minor"/>
    </font>
    <font>
      <sz val="10"/>
      <color rgb="FF000000"/>
      <name val="Arial"/>
    </font>
    <font>
      <b/>
      <sz val="10"/>
      <color rgb="FF000000"/>
      <name val="Arial"/>
    </font>
    <font>
      <sz val="10"/>
      <color theme="1"/>
      <name val="Arial"/>
    </font>
    <font>
      <b/>
      <sz val="10"/>
      <color theme="1"/>
      <name val="Arial"/>
    </font>
    <font>
      <sz val="10"/>
      <color rgb="FF000000"/>
      <name val="Arial"/>
      <charset val="1"/>
    </font>
    <font>
      <b/>
      <sz val="11"/>
      <color theme="1"/>
      <name val="Calibri"/>
      <family val="2"/>
      <charset val="1"/>
    </font>
    <font>
      <sz val="11"/>
      <color theme="1"/>
      <name val="Calibri"/>
      <family val="2"/>
      <charset val="1"/>
    </font>
    <font>
      <b/>
      <sz val="11"/>
      <color rgb="FF000000"/>
      <name val="Calibri"/>
      <family val="2"/>
    </font>
    <font>
      <sz val="11"/>
      <color rgb="FF000000"/>
      <name val="Calibri"/>
      <family val="2"/>
    </font>
    <font>
      <b/>
      <sz val="11"/>
      <color rgb="FF000000"/>
      <name val="Calibri"/>
    </font>
    <font>
      <sz val="11"/>
      <color rgb="FF000000"/>
      <name val="Calibri"/>
    </font>
    <font>
      <sz val="11"/>
      <color rgb="FF6D6E71"/>
      <name val="Pt_Sansregular"/>
      <charset val="1"/>
    </font>
    <font>
      <b/>
      <sz val="10.5"/>
      <color rgb="FF222222"/>
      <name val="Arial"/>
      <family val="2"/>
      <charset val="1"/>
    </font>
    <font>
      <sz val="11"/>
      <color rgb="FF000000"/>
      <name val="Calibri"/>
      <charset val="1"/>
    </font>
    <font>
      <sz val="11"/>
      <color theme="1"/>
      <name val="Arial"/>
      <charset val="1"/>
    </font>
    <font>
      <sz val="12"/>
      <color theme="1"/>
      <name val="Calibri"/>
      <family val="2"/>
      <scheme val="minor"/>
    </font>
    <font>
      <b/>
      <sz val="14"/>
      <color theme="1"/>
      <name val="Calibri"/>
      <family val="2"/>
      <scheme val="minor"/>
    </font>
    <font>
      <b/>
      <sz val="8"/>
      <color rgb="FF000000"/>
      <name val="Tahoma"/>
      <charset val="1"/>
    </font>
    <font>
      <u/>
      <sz val="11"/>
      <color rgb="FF0563C1"/>
      <name val="Calibri"/>
    </font>
    <font>
      <u/>
      <sz val="11"/>
      <color theme="10"/>
      <name val="Calibri"/>
    </font>
    <font>
      <b/>
      <sz val="11"/>
      <color rgb="FFFF0000"/>
      <name val="Calibri"/>
    </font>
    <font>
      <b/>
      <sz val="11"/>
      <color rgb="FFFF0000"/>
      <name val="Calibri"/>
      <family val="2"/>
      <charset val="1"/>
    </font>
    <font>
      <b/>
      <sz val="11"/>
      <color rgb="FF00B050"/>
      <name val="Calibri"/>
      <family val="2"/>
      <scheme val="minor"/>
    </font>
    <font>
      <b/>
      <sz val="11"/>
      <color rgb="FFFFFFFF"/>
      <name val="Calibri"/>
      <family val="2"/>
      <scheme val="minor"/>
    </font>
    <font>
      <sz val="11"/>
      <color rgb="FF414042"/>
      <name val="Pt_Sansregular"/>
      <charset val="1"/>
    </font>
    <font>
      <b/>
      <sz val="11"/>
      <color rgb="FF000000"/>
      <name val="Calibri"/>
      <family val="2"/>
      <scheme val="minor"/>
    </font>
    <font>
      <sz val="11"/>
      <color theme="1"/>
      <name val="-Apple-System"/>
      <charset val="1"/>
    </font>
    <font>
      <u/>
      <sz val="11"/>
      <color theme="1"/>
      <name val="Calibri"/>
      <family val="2"/>
      <scheme val="minor"/>
    </font>
    <font>
      <sz val="11"/>
      <color rgb="FF444444"/>
      <name val="Calibri"/>
      <family val="2"/>
      <charset val="1"/>
    </font>
    <font>
      <b/>
      <sz val="11"/>
      <color theme="0"/>
      <name val="Calibri"/>
      <family val="2"/>
      <scheme val="minor"/>
    </font>
    <font>
      <b/>
      <sz val="14"/>
      <color rgb="FF000000"/>
      <name val="Calibri"/>
    </font>
    <font>
      <sz val="11"/>
      <color rgb="FF252525"/>
      <name val="Calibri"/>
    </font>
    <font>
      <sz val="11"/>
      <color theme="1"/>
      <name val="Calibri"/>
      <family val="2"/>
      <scheme val="minor"/>
    </font>
    <font>
      <b/>
      <sz val="20"/>
      <color theme="1" tint="0.34998626667073579"/>
      <name val="Calibri"/>
      <family val="2"/>
      <scheme val="minor"/>
    </font>
    <font>
      <b/>
      <sz val="11"/>
      <color rgb="FF548235"/>
      <name val="Calibri"/>
      <family val="2"/>
      <scheme val="minor"/>
    </font>
    <font>
      <b/>
      <sz val="11"/>
      <color rgb="FFC65911"/>
      <name val="Calibri"/>
      <family val="2"/>
      <scheme val="minor"/>
    </font>
    <font>
      <b/>
      <u/>
      <sz val="11"/>
      <color rgb="FF000000"/>
      <name val="Calibri"/>
    </font>
  </fonts>
  <fills count="21">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rgb="FFE2EFDA"/>
        <bgColor rgb="FF000000"/>
      </patternFill>
    </fill>
    <fill>
      <patternFill patternType="solid">
        <fgColor rgb="FFE2EFDA"/>
        <bgColor indexed="64"/>
      </patternFill>
    </fill>
    <fill>
      <patternFill patternType="solid">
        <fgColor rgb="FFFFFFFF"/>
        <bgColor indexed="64"/>
      </patternFill>
    </fill>
    <fill>
      <patternFill patternType="solid">
        <fgColor rgb="FFE3F3FA"/>
        <bgColor indexed="64"/>
      </patternFill>
    </fill>
    <fill>
      <patternFill patternType="solid">
        <fgColor rgb="FFF2FAED"/>
        <bgColor indexed="64"/>
      </patternFill>
    </fill>
    <fill>
      <patternFill patternType="solid">
        <fgColor rgb="FFF7F5F5"/>
        <bgColor indexed="64"/>
      </patternFill>
    </fill>
    <fill>
      <patternFill patternType="solid">
        <fgColor rgb="FFFCFCFC"/>
        <bgColor indexed="64"/>
      </patternFill>
    </fill>
    <fill>
      <patternFill patternType="solid">
        <fgColor rgb="FF548235"/>
        <bgColor indexed="64"/>
      </patternFill>
    </fill>
    <fill>
      <patternFill patternType="solid">
        <fgColor rgb="FFFFF2CC"/>
        <bgColor indexed="64"/>
      </patternFill>
    </fill>
    <fill>
      <patternFill patternType="solid">
        <fgColor rgb="FFF4B084"/>
        <bgColor indexed="64"/>
      </patternFill>
    </fill>
    <fill>
      <patternFill patternType="solid">
        <fgColor rgb="FF92D050"/>
        <bgColor indexed="64"/>
      </patternFill>
    </fill>
    <fill>
      <patternFill patternType="solid">
        <fgColor theme="4" tint="0.79998168889431442"/>
        <bgColor indexed="64"/>
      </patternFill>
    </fill>
    <fill>
      <patternFill patternType="solid">
        <fgColor rgb="FFA5D6C7"/>
        <bgColor indexed="64"/>
      </patternFill>
    </fill>
    <fill>
      <patternFill patternType="solid">
        <fgColor theme="1" tint="0.499984740745262"/>
        <bgColor theme="1" tint="0.499984740745262"/>
      </patternFill>
    </fill>
    <fill>
      <patternFill patternType="solid">
        <fgColor rgb="FFDDEBF7"/>
        <bgColor indexed="64"/>
      </patternFill>
    </fill>
    <fill>
      <patternFill patternType="solid">
        <fgColor theme="0"/>
        <bgColor indexed="64"/>
      </patternFill>
    </fill>
    <fill>
      <patternFill patternType="solid">
        <fgColor rgb="FFFFF8E5"/>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medium">
        <color rgb="FF000000"/>
      </right>
      <top style="medium">
        <color rgb="FF000000"/>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medium">
        <color rgb="FF000000"/>
      </left>
      <right/>
      <top style="medium">
        <color rgb="FF000000"/>
      </top>
      <bottom style="medium">
        <color rgb="FF000000"/>
      </bottom>
      <diagonal/>
    </border>
    <border>
      <left/>
      <right/>
      <top style="thin">
        <color rgb="FFCC3300"/>
      </top>
      <bottom style="thin">
        <color rgb="FFCC3300"/>
      </bottom>
      <diagonal/>
    </border>
    <border>
      <left/>
      <right style="thin">
        <color rgb="FFCC3300"/>
      </right>
      <top style="thin">
        <color rgb="FFCC3300"/>
      </top>
      <bottom style="thin">
        <color rgb="FFCC3300"/>
      </bottom>
      <diagonal/>
    </border>
    <border>
      <left style="medium">
        <color rgb="FF000000"/>
      </left>
      <right/>
      <top/>
      <bottom style="thin">
        <color rgb="FF000000"/>
      </bottom>
      <diagonal/>
    </border>
    <border>
      <left/>
      <right style="medium">
        <color rgb="FF000000"/>
      </right>
      <top style="thin">
        <color rgb="FF000000"/>
      </top>
      <bottom style="thin">
        <color rgb="FF000000"/>
      </bottom>
      <diagonal/>
    </border>
    <border>
      <left/>
      <right/>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right/>
      <top style="thin">
        <color rgb="FF000000"/>
      </top>
      <bottom style="thin">
        <color rgb="FF000000"/>
      </bottom>
      <diagonal/>
    </border>
    <border>
      <left/>
      <right style="thin">
        <color rgb="FF000000"/>
      </right>
      <top/>
      <bottom style="thin">
        <color rgb="FF000000"/>
      </bottom>
      <diagonal/>
    </border>
    <border>
      <left style="medium">
        <color indexed="64"/>
      </left>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style="medium">
        <color theme="1" tint="0.499984740745262"/>
      </top>
      <bottom/>
      <diagonal/>
    </border>
    <border>
      <left/>
      <right/>
      <top/>
      <bottom style="thin">
        <color theme="4" tint="0.39997558519241921"/>
      </bottom>
      <diagonal/>
    </border>
    <border>
      <left/>
      <right style="thin">
        <color rgb="FF548235"/>
      </right>
      <top/>
      <bottom/>
      <diagonal/>
    </border>
    <border>
      <left style="medium">
        <color rgb="FF548235"/>
      </left>
      <right/>
      <top style="medium">
        <color rgb="FF548235"/>
      </top>
      <bottom/>
      <diagonal/>
    </border>
    <border>
      <left/>
      <right style="medium">
        <color rgb="FF548235"/>
      </right>
      <top style="medium">
        <color rgb="FF548235"/>
      </top>
      <bottom/>
      <diagonal/>
    </border>
    <border>
      <left style="medium">
        <color rgb="FF548235"/>
      </left>
      <right/>
      <top/>
      <bottom/>
      <diagonal/>
    </border>
    <border>
      <left/>
      <right style="medium">
        <color rgb="FF548235"/>
      </right>
      <top/>
      <bottom/>
      <diagonal/>
    </border>
    <border>
      <left style="thin">
        <color indexed="64"/>
      </left>
      <right style="thin">
        <color indexed="64"/>
      </right>
      <top style="thin">
        <color indexed="64"/>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rgb="FF000000"/>
      </left>
      <right/>
      <top style="thin">
        <color rgb="FF000000"/>
      </top>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s>
  <cellStyleXfs count="3">
    <xf numFmtId="0" fontId="0" fillId="0" borderId="0"/>
    <xf numFmtId="0" fontId="4" fillId="0" borderId="0" applyNumberFormat="0" applyFill="0" applyBorder="0" applyAlignment="0" applyProtection="0"/>
    <xf numFmtId="9" fontId="37" fillId="0" borderId="0" applyFont="0" applyFill="0" applyBorder="0" applyAlignment="0" applyProtection="0"/>
  </cellStyleXfs>
  <cellXfs count="336">
    <xf numFmtId="0" fontId="0" fillId="0" borderId="0" xfId="0"/>
    <xf numFmtId="14" fontId="0" fillId="0" borderId="0" xfId="0" applyNumberFormat="1"/>
    <xf numFmtId="0" fontId="0" fillId="0" borderId="0" xfId="0" applyAlignment="1">
      <alignment horizontal="center"/>
    </xf>
    <xf numFmtId="0" fontId="0" fillId="0" borderId="0" xfId="0" applyAlignment="1">
      <alignment wrapText="1"/>
    </xf>
    <xf numFmtId="0" fontId="0" fillId="0" borderId="0" xfId="0" applyAlignment="1">
      <alignment horizontal="center" vertical="center"/>
    </xf>
    <xf numFmtId="14" fontId="1" fillId="0" borderId="0" xfId="0" applyNumberFormat="1" applyFont="1"/>
    <xf numFmtId="0" fontId="2" fillId="0" borderId="1" xfId="0" applyFont="1" applyBorder="1" applyAlignment="1">
      <alignment horizontal="center" vertical="center"/>
    </xf>
    <xf numFmtId="0" fontId="0" fillId="0" borderId="1" xfId="0" applyBorder="1" applyAlignment="1">
      <alignment wrapText="1"/>
    </xf>
    <xf numFmtId="0" fontId="2" fillId="0" borderId="2" xfId="0" applyFont="1" applyBorder="1" applyAlignment="1">
      <alignment horizontal="center" vertical="center"/>
    </xf>
    <xf numFmtId="0" fontId="2" fillId="0" borderId="3" xfId="0" applyFont="1" applyBorder="1" applyAlignment="1">
      <alignment horizontal="center" vertical="center" wrapText="1"/>
    </xf>
    <xf numFmtId="0" fontId="0" fillId="0" borderId="4" xfId="0" applyBorder="1"/>
    <xf numFmtId="0" fontId="0" fillId="0" borderId="5" xfId="0" applyBorder="1" applyAlignment="1">
      <alignment wrapText="1"/>
    </xf>
    <xf numFmtId="0" fontId="0" fillId="0" borderId="6" xfId="0" applyBorder="1" applyAlignment="1">
      <alignment vertical="center"/>
    </xf>
    <xf numFmtId="0" fontId="0" fillId="0" borderId="7" xfId="0" applyBorder="1" applyAlignment="1">
      <alignment wrapText="1"/>
    </xf>
    <xf numFmtId="0" fontId="0" fillId="0" borderId="1" xfId="0" applyBorder="1" applyAlignment="1">
      <alignment horizontal="center"/>
    </xf>
    <xf numFmtId="0" fontId="2" fillId="0" borderId="1" xfId="0" applyFont="1" applyBorder="1"/>
    <xf numFmtId="0" fontId="0" fillId="0" borderId="8" xfId="0" applyBorder="1" applyAlignment="1">
      <alignment wrapText="1"/>
    </xf>
    <xf numFmtId="0" fontId="2" fillId="0" borderId="0" xfId="0" applyFont="1" applyAlignment="1">
      <alignment horizontal="center"/>
    </xf>
    <xf numFmtId="0" fontId="0" fillId="0" borderId="8" xfId="0" applyBorder="1"/>
    <xf numFmtId="0" fontId="10" fillId="0" borderId="8" xfId="0" applyFont="1" applyBorder="1" applyAlignment="1">
      <alignment wrapText="1"/>
    </xf>
    <xf numFmtId="0" fontId="0" fillId="3" borderId="8" xfId="0" applyFill="1" applyBorder="1" applyAlignment="1">
      <alignment wrapText="1"/>
    </xf>
    <xf numFmtId="0" fontId="14" fillId="0" borderId="8" xfId="0" applyFont="1" applyBorder="1"/>
    <xf numFmtId="0" fontId="10" fillId="0" borderId="8" xfId="0" applyFont="1" applyBorder="1" applyAlignment="1">
      <alignment horizontal="center" vertical="center" wrapText="1"/>
    </xf>
    <xf numFmtId="0" fontId="0" fillId="0" borderId="8" xfId="0" applyBorder="1" applyAlignment="1">
      <alignment horizontal="center" vertical="center" wrapText="1"/>
    </xf>
    <xf numFmtId="0" fontId="0" fillId="0" borderId="0" xfId="0" applyAlignment="1">
      <alignment horizontal="center" vertical="center" wrapText="1"/>
    </xf>
    <xf numFmtId="0" fontId="2" fillId="0" borderId="8" xfId="0" applyFont="1" applyBorder="1" applyAlignment="1">
      <alignment horizontal="center" vertical="center"/>
    </xf>
    <xf numFmtId="9" fontId="5" fillId="0" borderId="8" xfId="0" applyNumberFormat="1" applyFont="1" applyBorder="1" applyAlignment="1">
      <alignment horizontal="center" vertical="center" wrapText="1"/>
    </xf>
    <xf numFmtId="9" fontId="7" fillId="0" borderId="8" xfId="0" applyNumberFormat="1" applyFont="1" applyBorder="1" applyAlignment="1">
      <alignment horizontal="center" vertical="center" wrapText="1"/>
    </xf>
    <xf numFmtId="0" fontId="0" fillId="0" borderId="8" xfId="0" applyBorder="1" applyAlignment="1">
      <alignment horizontal="center" vertical="center"/>
    </xf>
    <xf numFmtId="0" fontId="15" fillId="0" borderId="8" xfId="0" applyFont="1" applyBorder="1" applyAlignment="1">
      <alignment vertical="center" wrapText="1"/>
    </xf>
    <xf numFmtId="0" fontId="15" fillId="0" borderId="8" xfId="0" applyFont="1" applyBorder="1" applyAlignment="1">
      <alignment wrapText="1"/>
    </xf>
    <xf numFmtId="14" fontId="0" fillId="0" borderId="8" xfId="0" applyNumberFormat="1" applyBorder="1" applyAlignment="1">
      <alignment horizontal="center" vertical="center"/>
    </xf>
    <xf numFmtId="0" fontId="12" fillId="4" borderId="11" xfId="0" applyFont="1" applyFill="1" applyBorder="1" applyAlignment="1">
      <alignment horizontal="center" wrapText="1"/>
    </xf>
    <xf numFmtId="0" fontId="12" fillId="4" borderId="12" xfId="0" applyFont="1" applyFill="1" applyBorder="1" applyAlignment="1">
      <alignment horizontal="center" wrapText="1"/>
    </xf>
    <xf numFmtId="0" fontId="12" fillId="4" borderId="13" xfId="0" applyFont="1" applyFill="1" applyBorder="1" applyAlignment="1">
      <alignment horizontal="center" wrapText="1"/>
    </xf>
    <xf numFmtId="0" fontId="0" fillId="0" borderId="14" xfId="0" applyBorder="1" applyAlignment="1">
      <alignment horizontal="center" vertical="center"/>
    </xf>
    <xf numFmtId="0" fontId="14" fillId="0" borderId="15" xfId="0" applyFont="1" applyBorder="1" applyAlignment="1">
      <alignment wrapText="1"/>
    </xf>
    <xf numFmtId="0" fontId="15" fillId="0" borderId="15" xfId="0" applyFont="1" applyBorder="1" applyAlignment="1">
      <alignment wrapText="1"/>
    </xf>
    <xf numFmtId="0" fontId="0" fillId="0" borderId="16" xfId="0" applyBorder="1" applyAlignment="1">
      <alignment horizontal="center" vertical="center"/>
    </xf>
    <xf numFmtId="0" fontId="15" fillId="0" borderId="17" xfId="0" applyFont="1" applyBorder="1" applyAlignment="1">
      <alignment wrapText="1"/>
    </xf>
    <xf numFmtId="14" fontId="0" fillId="0" borderId="17" xfId="0" applyNumberFormat="1" applyBorder="1" applyAlignment="1">
      <alignment horizontal="center" vertical="center"/>
    </xf>
    <xf numFmtId="0" fontId="0" fillId="0" borderId="17" xfId="0" applyBorder="1" applyAlignment="1">
      <alignment wrapText="1"/>
    </xf>
    <xf numFmtId="0" fontId="15" fillId="0" borderId="18" xfId="0" applyFont="1" applyBorder="1" applyAlignment="1">
      <alignment wrapText="1"/>
    </xf>
    <xf numFmtId="0" fontId="4" fillId="0" borderId="0" xfId="1"/>
    <xf numFmtId="0" fontId="14" fillId="0" borderId="8" xfId="0" applyFont="1" applyBorder="1" applyAlignment="1">
      <alignment wrapText="1"/>
    </xf>
    <xf numFmtId="0" fontId="0" fillId="6" borderId="8" xfId="0" applyFill="1" applyBorder="1" applyAlignment="1">
      <alignment wrapText="1"/>
    </xf>
    <xf numFmtId="22" fontId="10" fillId="0" borderId="8" xfId="0" applyNumberFormat="1" applyFont="1" applyBorder="1" applyAlignment="1">
      <alignment horizontal="center" vertical="center" wrapText="1"/>
    </xf>
    <xf numFmtId="0" fontId="19" fillId="0" borderId="8" xfId="0" applyFont="1" applyBorder="1" applyAlignment="1">
      <alignment wrapText="1"/>
    </xf>
    <xf numFmtId="0" fontId="2" fillId="5" borderId="12" xfId="0" applyFont="1" applyFill="1" applyBorder="1" applyAlignment="1">
      <alignment horizontal="center" wrapText="1"/>
    </xf>
    <xf numFmtId="0" fontId="2" fillId="5" borderId="12" xfId="0" applyFont="1" applyFill="1" applyBorder="1" applyAlignment="1">
      <alignment horizontal="center" vertical="center" wrapText="1"/>
    </xf>
    <xf numFmtId="0" fontId="0" fillId="0" borderId="14" xfId="0" applyBorder="1"/>
    <xf numFmtId="0" fontId="0" fillId="0" borderId="15" xfId="0" applyBorder="1"/>
    <xf numFmtId="0" fontId="0" fillId="0" borderId="16" xfId="0" applyBorder="1"/>
    <xf numFmtId="0" fontId="0" fillId="0" borderId="17" xfId="0" applyBorder="1" applyAlignment="1">
      <alignment horizontal="center" vertical="center" wrapText="1"/>
    </xf>
    <xf numFmtId="0" fontId="0" fillId="0" borderId="18" xfId="0" applyBorder="1"/>
    <xf numFmtId="0" fontId="15" fillId="7" borderId="16" xfId="0" applyFont="1" applyFill="1" applyBorder="1" applyAlignment="1">
      <alignment wrapText="1"/>
    </xf>
    <xf numFmtId="0" fontId="0" fillId="7" borderId="18" xfId="0" applyFill="1" applyBorder="1" applyAlignment="1">
      <alignment horizontal="center"/>
    </xf>
    <xf numFmtId="0" fontId="2" fillId="8" borderId="14" xfId="0" applyFont="1" applyFill="1" applyBorder="1"/>
    <xf numFmtId="0" fontId="20" fillId="8" borderId="15" xfId="0" applyFont="1" applyFill="1" applyBorder="1" applyAlignment="1">
      <alignment horizontal="center"/>
    </xf>
    <xf numFmtId="0" fontId="2" fillId="9" borderId="14" xfId="0" applyFont="1" applyFill="1" applyBorder="1" applyAlignment="1">
      <alignment horizontal="center"/>
    </xf>
    <xf numFmtId="0" fontId="2" fillId="9" borderId="15" xfId="0" applyFont="1" applyFill="1" applyBorder="1" applyAlignment="1">
      <alignment horizontal="center"/>
    </xf>
    <xf numFmtId="0" fontId="0" fillId="9" borderId="14" xfId="0" applyFill="1" applyBorder="1" applyAlignment="1">
      <alignment horizontal="left" wrapText="1"/>
    </xf>
    <xf numFmtId="0" fontId="0" fillId="9" borderId="15" xfId="0" applyFill="1" applyBorder="1" applyAlignment="1">
      <alignment horizontal="center"/>
    </xf>
    <xf numFmtId="0" fontId="2" fillId="8" borderId="20" xfId="0" applyFont="1" applyFill="1" applyBorder="1"/>
    <xf numFmtId="0" fontId="20" fillId="8" borderId="21" xfId="0" applyFont="1" applyFill="1" applyBorder="1" applyAlignment="1">
      <alignment horizontal="center"/>
    </xf>
    <xf numFmtId="0" fontId="2" fillId="5" borderId="9" xfId="0" applyFont="1" applyFill="1" applyBorder="1" applyAlignment="1">
      <alignment horizontal="center" wrapText="1"/>
    </xf>
    <xf numFmtId="0" fontId="4" fillId="0" borderId="26" xfId="1" applyBorder="1"/>
    <xf numFmtId="0" fontId="2" fillId="5" borderId="11" xfId="0" applyFont="1" applyFill="1" applyBorder="1" applyAlignment="1">
      <alignment horizontal="center" wrapText="1"/>
    </xf>
    <xf numFmtId="0" fontId="2" fillId="5" borderId="13" xfId="0" applyFont="1" applyFill="1" applyBorder="1" applyAlignment="1">
      <alignment horizontal="center" wrapText="1"/>
    </xf>
    <xf numFmtId="14" fontId="15" fillId="0" borderId="14" xfId="0" applyNumberFormat="1" applyFont="1" applyBorder="1" applyAlignment="1">
      <alignment wrapText="1"/>
    </xf>
    <xf numFmtId="14" fontId="15" fillId="0" borderId="16" xfId="0" applyNumberFormat="1" applyFont="1" applyBorder="1" applyAlignment="1">
      <alignment wrapText="1"/>
    </xf>
    <xf numFmtId="14" fontId="10" fillId="0" borderId="17" xfId="0" applyNumberFormat="1" applyFont="1" applyBorder="1" applyAlignment="1">
      <alignment horizontal="center" vertical="center" wrapText="1"/>
    </xf>
    <xf numFmtId="0" fontId="0" fillId="0" borderId="18" xfId="0" applyBorder="1" applyAlignment="1">
      <alignment wrapText="1"/>
    </xf>
    <xf numFmtId="0" fontId="25" fillId="0" borderId="25" xfId="0" applyFont="1" applyBorder="1"/>
    <xf numFmtId="0" fontId="26" fillId="0" borderId="0" xfId="0" applyFont="1"/>
    <xf numFmtId="0" fontId="2" fillId="5" borderId="27" xfId="0" applyFont="1" applyFill="1" applyBorder="1" applyAlignment="1">
      <alignment horizontal="center" wrapText="1"/>
    </xf>
    <xf numFmtId="0" fontId="0" fillId="0" borderId="28" xfId="0" applyBorder="1"/>
    <xf numFmtId="0" fontId="0" fillId="0" borderId="29" xfId="0" applyBorder="1"/>
    <xf numFmtId="0" fontId="0" fillId="0" borderId="19" xfId="0" pivotButton="1" applyBorder="1"/>
    <xf numFmtId="0" fontId="0" fillId="0" borderId="19" xfId="0" applyBorder="1" applyAlignment="1">
      <alignment horizontal="center" vertical="center"/>
    </xf>
    <xf numFmtId="0" fontId="0" fillId="0" borderId="19" xfId="0" applyBorder="1"/>
    <xf numFmtId="0" fontId="27" fillId="0" borderId="0" xfId="0" applyFont="1"/>
    <xf numFmtId="0" fontId="0" fillId="0" borderId="19" xfId="0" pivotButton="1" applyBorder="1" applyAlignment="1">
      <alignment wrapText="1"/>
    </xf>
    <xf numFmtId="0" fontId="0" fillId="0" borderId="19" xfId="0" applyBorder="1" applyAlignment="1">
      <alignment wrapText="1"/>
    </xf>
    <xf numFmtId="0" fontId="0" fillId="0" borderId="8" xfId="0" applyBorder="1" applyAlignment="1">
      <alignment vertical="center" wrapText="1"/>
    </xf>
    <xf numFmtId="9" fontId="8" fillId="0" borderId="8" xfId="0" applyNumberFormat="1" applyFont="1" applyBorder="1" applyAlignment="1">
      <alignment horizontal="center" vertical="center"/>
    </xf>
    <xf numFmtId="0" fontId="2" fillId="2" borderId="8" xfId="0" applyFont="1" applyFill="1" applyBorder="1" applyAlignment="1">
      <alignment horizontal="center" vertical="center" wrapText="1"/>
    </xf>
    <xf numFmtId="0" fontId="11" fillId="0" borderId="8" xfId="0" applyFont="1" applyBorder="1"/>
    <xf numFmtId="0" fontId="12" fillId="4" borderId="8" xfId="0" applyFont="1" applyFill="1" applyBorder="1" applyAlignment="1">
      <alignment wrapText="1"/>
    </xf>
    <xf numFmtId="0" fontId="12" fillId="4" borderId="8" xfId="0" applyFont="1" applyFill="1" applyBorder="1" applyAlignment="1">
      <alignment horizontal="center" vertical="center" wrapText="1"/>
    </xf>
    <xf numFmtId="0" fontId="13" fillId="0" borderId="8" xfId="0" applyFont="1" applyBorder="1" applyAlignment="1">
      <alignment wrapText="1"/>
    </xf>
    <xf numFmtId="0" fontId="13" fillId="0" borderId="8" xfId="0" applyFont="1" applyBorder="1" applyAlignment="1">
      <alignment horizontal="center" vertical="center" wrapText="1"/>
    </xf>
    <xf numFmtId="0" fontId="12" fillId="0" borderId="8" xfId="0" applyFont="1" applyBorder="1" applyAlignment="1">
      <alignment wrapText="1"/>
    </xf>
    <xf numFmtId="0" fontId="0" fillId="0" borderId="8" xfId="0" applyBorder="1" applyAlignment="1">
      <alignment horizontal="left" vertical="center" wrapText="1"/>
    </xf>
    <xf numFmtId="0" fontId="17" fillId="0" borderId="8" xfId="0" applyFont="1" applyBorder="1" applyAlignment="1">
      <alignment wrapText="1"/>
    </xf>
    <xf numFmtId="0" fontId="0" fillId="0" borderId="8" xfId="0" applyBorder="1" applyAlignment="1">
      <alignment horizontal="left" vertical="center"/>
    </xf>
    <xf numFmtId="0" fontId="18" fillId="0" borderId="8" xfId="0" applyFont="1" applyBorder="1" applyAlignment="1">
      <alignment vertical="center" wrapText="1"/>
    </xf>
    <xf numFmtId="0" fontId="15" fillId="0" borderId="8" xfId="0" applyFont="1" applyBorder="1" applyAlignment="1">
      <alignment horizontal="center" vertical="center" wrapText="1"/>
    </xf>
    <xf numFmtId="0" fontId="15" fillId="0" borderId="8" xfId="0" quotePrefix="1" applyFont="1" applyBorder="1" applyAlignment="1">
      <alignment wrapText="1"/>
    </xf>
    <xf numFmtId="0" fontId="24" fillId="0" borderId="8" xfId="1" applyFont="1" applyBorder="1" applyAlignment="1">
      <alignment wrapText="1"/>
    </xf>
    <xf numFmtId="0" fontId="15" fillId="0" borderId="8" xfId="0" applyFont="1" applyBorder="1" applyAlignment="1">
      <alignment horizontal="center" vertical="center"/>
    </xf>
    <xf numFmtId="0" fontId="15" fillId="0" borderId="8" xfId="0" applyFont="1" applyBorder="1" applyAlignment="1">
      <alignment horizontal="left" vertical="center" wrapText="1"/>
    </xf>
    <xf numFmtId="0" fontId="4" fillId="0" borderId="8" xfId="1" applyBorder="1" applyAlignment="1">
      <alignment wrapText="1"/>
    </xf>
    <xf numFmtId="0" fontId="2" fillId="0" borderId="11" xfId="0" applyFont="1" applyBorder="1" applyAlignment="1">
      <alignment horizontal="center"/>
    </xf>
    <xf numFmtId="0" fontId="2" fillId="0" borderId="12" xfId="0" applyFont="1" applyBorder="1" applyAlignment="1">
      <alignment horizontal="center"/>
    </xf>
    <xf numFmtId="0" fontId="2" fillId="0" borderId="13" xfId="0" applyFont="1" applyBorder="1" applyAlignment="1">
      <alignment horizontal="center"/>
    </xf>
    <xf numFmtId="0" fontId="18" fillId="0" borderId="8" xfId="0" applyFont="1" applyBorder="1" applyAlignment="1">
      <alignment wrapText="1"/>
    </xf>
    <xf numFmtId="0" fontId="0" fillId="0" borderId="30" xfId="0" applyBorder="1" applyAlignment="1">
      <alignment horizontal="left"/>
    </xf>
    <xf numFmtId="0" fontId="0" fillId="12" borderId="8" xfId="0" applyFill="1" applyBorder="1"/>
    <xf numFmtId="0" fontId="15" fillId="12" borderId="8" xfId="0" applyFont="1" applyFill="1" applyBorder="1" applyAlignment="1">
      <alignment wrapText="1"/>
    </xf>
    <xf numFmtId="0" fontId="0" fillId="12" borderId="8" xfId="0" applyFill="1" applyBorder="1" applyAlignment="1">
      <alignment horizontal="center" vertical="center"/>
    </xf>
    <xf numFmtId="0" fontId="0" fillId="12" borderId="8" xfId="0" applyFill="1" applyBorder="1" applyAlignment="1">
      <alignment horizontal="left" vertical="center" wrapText="1"/>
    </xf>
    <xf numFmtId="0" fontId="0" fillId="12" borderId="8" xfId="0" applyFill="1" applyBorder="1" applyAlignment="1">
      <alignment wrapText="1"/>
    </xf>
    <xf numFmtId="0" fontId="0" fillId="0" borderId="0" xfId="0" applyAlignment="1">
      <alignment horizontal="left" vertical="top" wrapText="1"/>
    </xf>
    <xf numFmtId="0" fontId="0" fillId="0" borderId="8" xfId="0" applyBorder="1" applyAlignment="1">
      <alignment horizontal="left" wrapText="1"/>
    </xf>
    <xf numFmtId="0" fontId="0" fillId="0" borderId="16" xfId="0" applyBorder="1" applyAlignment="1">
      <alignment horizontal="left" vertical="center" wrapText="1"/>
    </xf>
    <xf numFmtId="0" fontId="0" fillId="0" borderId="17" xfId="0" applyBorder="1" applyAlignment="1">
      <alignment horizontal="left" vertical="center" wrapText="1"/>
    </xf>
    <xf numFmtId="0" fontId="10" fillId="0" borderId="17" xfId="0" applyFont="1" applyBorder="1" applyAlignment="1">
      <alignment horizontal="left" vertical="center" wrapText="1"/>
    </xf>
    <xf numFmtId="0" fontId="15" fillId="0" borderId="17" xfId="0" applyFont="1" applyBorder="1" applyAlignment="1">
      <alignment horizontal="left" vertical="center" wrapText="1"/>
    </xf>
    <xf numFmtId="0" fontId="15" fillId="0" borderId="18" xfId="0" applyFont="1" applyBorder="1" applyAlignment="1">
      <alignment vertical="center" wrapText="1"/>
    </xf>
    <xf numFmtId="0" fontId="0" fillId="0" borderId="32" xfId="0" applyBorder="1"/>
    <xf numFmtId="0" fontId="0" fillId="0" borderId="28" xfId="0" applyBorder="1" applyAlignment="1">
      <alignment wrapText="1"/>
    </xf>
    <xf numFmtId="0" fontId="0" fillId="0" borderId="31" xfId="0" applyBorder="1"/>
    <xf numFmtId="0" fontId="0" fillId="0" borderId="33" xfId="0" applyBorder="1"/>
    <xf numFmtId="2" fontId="25" fillId="0" borderId="25" xfId="0" applyNumberFormat="1" applyFont="1" applyBorder="1"/>
    <xf numFmtId="15" fontId="0" fillId="0" borderId="31" xfId="0" applyNumberFormat="1" applyBorder="1"/>
    <xf numFmtId="15" fontId="0" fillId="0" borderId="0" xfId="0" applyNumberFormat="1"/>
    <xf numFmtId="0" fontId="0" fillId="0" borderId="8" xfId="0" applyBorder="1" applyAlignment="1">
      <alignment horizontal="left"/>
    </xf>
    <xf numFmtId="0" fontId="0" fillId="0" borderId="8" xfId="0" applyBorder="1" applyAlignment="1">
      <alignment horizontal="right"/>
    </xf>
    <xf numFmtId="22" fontId="0" fillId="0" borderId="8" xfId="0" applyNumberFormat="1" applyBorder="1" applyAlignment="1">
      <alignment horizontal="center" vertical="center"/>
    </xf>
    <xf numFmtId="164" fontId="0" fillId="0" borderId="8" xfId="0" applyNumberFormat="1" applyBorder="1" applyAlignment="1">
      <alignment wrapText="1"/>
    </xf>
    <xf numFmtId="0" fontId="0" fillId="0" borderId="31" xfId="0" applyBorder="1" applyAlignment="1">
      <alignment horizontal="left"/>
    </xf>
    <xf numFmtId="0" fontId="0" fillId="12" borderId="28" xfId="0" applyFill="1" applyBorder="1"/>
    <xf numFmtId="0" fontId="0" fillId="0" borderId="11" xfId="0" applyBorder="1"/>
    <xf numFmtId="0" fontId="2" fillId="0" borderId="12" xfId="0" applyFont="1" applyBorder="1" applyAlignment="1">
      <alignment horizontal="center" wrapText="1"/>
    </xf>
    <xf numFmtId="0" fontId="2" fillId="0" borderId="12" xfId="0" applyFont="1" applyBorder="1" applyAlignment="1">
      <alignment horizontal="center" vertical="center"/>
    </xf>
    <xf numFmtId="0" fontId="10" fillId="0" borderId="12" xfId="0" applyFont="1" applyBorder="1"/>
    <xf numFmtId="0" fontId="0" fillId="0" borderId="12" xfId="0" applyBorder="1"/>
    <xf numFmtId="0" fontId="0" fillId="0" borderId="12" xfId="0" applyBorder="1" applyAlignment="1">
      <alignment wrapText="1"/>
    </xf>
    <xf numFmtId="0" fontId="0" fillId="0" borderId="13" xfId="0" applyBorder="1"/>
    <xf numFmtId="0" fontId="4" fillId="0" borderId="15" xfId="1" applyBorder="1"/>
    <xf numFmtId="0" fontId="0" fillId="0" borderId="14" xfId="0" applyBorder="1" applyAlignment="1">
      <alignment horizontal="left"/>
    </xf>
    <xf numFmtId="0" fontId="4" fillId="0" borderId="15" xfId="1" applyBorder="1" applyAlignment="1">
      <alignment horizontal="left"/>
    </xf>
    <xf numFmtId="0" fontId="0" fillId="12" borderId="14" xfId="0" applyFill="1" applyBorder="1"/>
    <xf numFmtId="0" fontId="4" fillId="12" borderId="15" xfId="1" applyFill="1" applyBorder="1"/>
    <xf numFmtId="0" fontId="0" fillId="0" borderId="17" xfId="0" applyBorder="1"/>
    <xf numFmtId="0" fontId="0" fillId="0" borderId="17" xfId="0" applyBorder="1" applyAlignment="1">
      <alignment vertical="center" wrapText="1"/>
    </xf>
    <xf numFmtId="22" fontId="0" fillId="0" borderId="17" xfId="0" applyNumberFormat="1" applyBorder="1" applyAlignment="1">
      <alignment horizontal="center" vertical="center" wrapText="1"/>
    </xf>
    <xf numFmtId="0" fontId="18" fillId="0" borderId="17" xfId="0" applyFont="1" applyBorder="1" applyAlignment="1">
      <alignment vertical="center"/>
    </xf>
    <xf numFmtId="0" fontId="0" fillId="0" borderId="17" xfId="0" applyBorder="1" applyAlignment="1">
      <alignment horizontal="left" wrapText="1"/>
    </xf>
    <xf numFmtId="0" fontId="4" fillId="0" borderId="18" xfId="1" applyBorder="1"/>
    <xf numFmtId="0" fontId="31" fillId="0" borderId="0" xfId="0" applyFont="1"/>
    <xf numFmtId="0" fontId="31" fillId="0" borderId="0" xfId="0" applyFont="1" applyAlignment="1">
      <alignment horizontal="center"/>
    </xf>
    <xf numFmtId="0" fontId="0" fillId="3" borderId="0" xfId="0" applyFill="1"/>
    <xf numFmtId="0" fontId="0" fillId="0" borderId="0" xfId="0" pivotButton="1"/>
    <xf numFmtId="0" fontId="0" fillId="0" borderId="0" xfId="0" applyAlignment="1">
      <alignment horizontal="left"/>
    </xf>
    <xf numFmtId="0" fontId="0" fillId="14" borderId="0" xfId="0" applyFill="1"/>
    <xf numFmtId="0" fontId="32" fillId="0" borderId="0" xfId="1" quotePrefix="1" applyFont="1" applyFill="1"/>
    <xf numFmtId="0" fontId="32" fillId="0" borderId="0" xfId="1" applyFont="1" applyFill="1"/>
    <xf numFmtId="9" fontId="0" fillId="0" borderId="0" xfId="0" applyNumberFormat="1"/>
    <xf numFmtId="14" fontId="2" fillId="2" borderId="8" xfId="0" applyNumberFormat="1" applyFont="1" applyFill="1" applyBorder="1" applyAlignment="1">
      <alignment horizontal="center" vertical="center" wrapText="1"/>
    </xf>
    <xf numFmtId="1" fontId="2" fillId="2" borderId="8" xfId="0" applyNumberFormat="1" applyFont="1" applyFill="1" applyBorder="1" applyAlignment="1">
      <alignment horizontal="center" vertical="center" wrapText="1"/>
    </xf>
    <xf numFmtId="0" fontId="2" fillId="3" borderId="8" xfId="0" applyFont="1" applyFill="1" applyBorder="1" applyAlignment="1">
      <alignment horizontal="center" vertical="center" wrapText="1"/>
    </xf>
    <xf numFmtId="0" fontId="0" fillId="0" borderId="8" xfId="0" applyBorder="1" applyAlignment="1">
      <alignment horizontal="center" vertical="top"/>
    </xf>
    <xf numFmtId="0" fontId="0" fillId="0" borderId="30" xfId="0" applyBorder="1" applyAlignment="1">
      <alignment horizontal="center" vertical="top"/>
    </xf>
    <xf numFmtId="0" fontId="4" fillId="0" borderId="30" xfId="1" applyBorder="1" applyAlignment="1">
      <alignment horizontal="left" vertical="top"/>
    </xf>
    <xf numFmtId="0" fontId="0" fillId="0" borderId="0" xfId="0" applyAlignment="1">
      <alignment horizontal="center" vertical="top"/>
    </xf>
    <xf numFmtId="0" fontId="0" fillId="0" borderId="8" xfId="0" applyBorder="1" applyAlignment="1">
      <alignment horizontal="left" vertical="top"/>
    </xf>
    <xf numFmtId="14" fontId="0" fillId="0" borderId="8" xfId="0" applyNumberFormat="1" applyBorder="1" applyAlignment="1">
      <alignment horizontal="left" vertical="top"/>
    </xf>
    <xf numFmtId="17" fontId="0" fillId="0" borderId="8" xfId="0" applyNumberFormat="1" applyBorder="1" applyAlignment="1">
      <alignment horizontal="left" vertical="top"/>
    </xf>
    <xf numFmtId="1" fontId="0" fillId="0" borderId="8" xfId="0" applyNumberFormat="1" applyBorder="1" applyAlignment="1">
      <alignment horizontal="left" vertical="top"/>
    </xf>
    <xf numFmtId="0" fontId="3" fillId="0" borderId="8" xfId="0" applyFont="1" applyBorder="1" applyAlignment="1">
      <alignment horizontal="left" vertical="top"/>
    </xf>
    <xf numFmtId="0" fontId="0" fillId="3" borderId="8" xfId="0" applyFill="1" applyBorder="1" applyAlignment="1">
      <alignment horizontal="left" vertical="top"/>
    </xf>
    <xf numFmtId="0" fontId="0" fillId="0" borderId="8" xfId="0" applyBorder="1" applyAlignment="1">
      <alignment horizontal="left" vertical="top" wrapText="1"/>
    </xf>
    <xf numFmtId="0" fontId="4" fillId="0" borderId="8" xfId="1" applyBorder="1" applyAlignment="1">
      <alignment horizontal="left" vertical="top"/>
    </xf>
    <xf numFmtId="0" fontId="0" fillId="0" borderId="0" xfId="0" applyAlignment="1">
      <alignment horizontal="left" vertical="top"/>
    </xf>
    <xf numFmtId="16" fontId="3" fillId="0" borderId="8" xfId="0" applyNumberFormat="1" applyFont="1" applyBorder="1" applyAlignment="1">
      <alignment horizontal="left" vertical="top"/>
    </xf>
    <xf numFmtId="14" fontId="9" fillId="0" borderId="8" xfId="0" applyNumberFormat="1" applyFont="1" applyBorder="1" applyAlignment="1">
      <alignment horizontal="left" vertical="top"/>
    </xf>
    <xf numFmtId="0" fontId="4" fillId="0" borderId="0" xfId="1" applyAlignment="1">
      <alignment horizontal="left" vertical="top"/>
    </xf>
    <xf numFmtId="0" fontId="16" fillId="0" borderId="8" xfId="0" applyFont="1" applyBorder="1" applyAlignment="1">
      <alignment horizontal="left" vertical="top" wrapText="1"/>
    </xf>
    <xf numFmtId="0" fontId="11" fillId="0" borderId="8" xfId="0" applyFont="1" applyBorder="1" applyAlignment="1">
      <alignment horizontal="left" vertical="top" wrapText="1"/>
    </xf>
    <xf numFmtId="0" fontId="18" fillId="0" borderId="8" xfId="0" applyFont="1" applyBorder="1" applyAlignment="1">
      <alignment horizontal="left" vertical="top"/>
    </xf>
    <xf numFmtId="16" fontId="0" fillId="0" borderId="8" xfId="0" applyNumberFormat="1" applyBorder="1" applyAlignment="1">
      <alignment horizontal="left" vertical="top"/>
    </xf>
    <xf numFmtId="0" fontId="22" fillId="10" borderId="8" xfId="0" applyFont="1" applyFill="1" applyBorder="1" applyAlignment="1">
      <alignment horizontal="left" vertical="top" wrapText="1"/>
    </xf>
    <xf numFmtId="0" fontId="4" fillId="10" borderId="8" xfId="1" applyFill="1" applyBorder="1" applyAlignment="1">
      <alignment horizontal="left" vertical="top"/>
    </xf>
    <xf numFmtId="0" fontId="22" fillId="10" borderId="23" xfId="0" applyFont="1" applyFill="1" applyBorder="1" applyAlignment="1">
      <alignment horizontal="left" vertical="top"/>
    </xf>
    <xf numFmtId="0" fontId="22" fillId="10" borderId="24" xfId="0" applyFont="1" applyFill="1" applyBorder="1" applyAlignment="1">
      <alignment horizontal="left" vertical="top"/>
    </xf>
    <xf numFmtId="0" fontId="22" fillId="10" borderId="0" xfId="0" applyFont="1" applyFill="1" applyAlignment="1">
      <alignment horizontal="left" vertical="top"/>
    </xf>
    <xf numFmtId="0" fontId="28" fillId="11" borderId="8" xfId="0" applyFont="1" applyFill="1" applyBorder="1" applyAlignment="1">
      <alignment horizontal="left" vertical="top"/>
    </xf>
    <xf numFmtId="0" fontId="0" fillId="0" borderId="30" xfId="0" applyBorder="1" applyAlignment="1">
      <alignment horizontal="left" vertical="top"/>
    </xf>
    <xf numFmtId="0" fontId="30" fillId="13" borderId="8" xfId="0" applyFont="1" applyFill="1" applyBorder="1" applyAlignment="1">
      <alignment horizontal="left" vertical="top" wrapText="1"/>
    </xf>
    <xf numFmtId="14" fontId="0" fillId="0" borderId="30" xfId="0" applyNumberFormat="1" applyBorder="1" applyAlignment="1">
      <alignment horizontal="left" vertical="top"/>
    </xf>
    <xf numFmtId="0" fontId="0" fillId="0" borderId="30" xfId="0" applyBorder="1" applyAlignment="1">
      <alignment horizontal="left" vertical="top" wrapText="1"/>
    </xf>
    <xf numFmtId="1" fontId="0" fillId="0" borderId="30" xfId="0" applyNumberFormat="1" applyBorder="1" applyAlignment="1">
      <alignment horizontal="left" vertical="top"/>
    </xf>
    <xf numFmtId="0" fontId="0" fillId="3" borderId="30" xfId="0" applyFill="1" applyBorder="1" applyAlignment="1">
      <alignment horizontal="left" vertical="top"/>
    </xf>
    <xf numFmtId="0" fontId="18" fillId="0" borderId="8" xfId="0" applyFont="1" applyBorder="1" applyAlignment="1">
      <alignment horizontal="left" vertical="top" wrapText="1"/>
    </xf>
    <xf numFmtId="0" fontId="0" fillId="0" borderId="28" xfId="0" applyBorder="1" applyAlignment="1">
      <alignment horizontal="left" vertical="top"/>
    </xf>
    <xf numFmtId="0" fontId="0" fillId="0" borderId="31" xfId="0" applyBorder="1" applyAlignment="1">
      <alignment horizontal="left" vertical="top"/>
    </xf>
    <xf numFmtId="14" fontId="0" fillId="0" borderId="0" xfId="0" applyNumberFormat="1" applyAlignment="1">
      <alignment horizontal="left" vertical="top"/>
    </xf>
    <xf numFmtId="17" fontId="0" fillId="0" borderId="0" xfId="0" applyNumberFormat="1" applyAlignment="1">
      <alignment horizontal="left" vertical="top"/>
    </xf>
    <xf numFmtId="0" fontId="0" fillId="3" borderId="0" xfId="0" applyFill="1" applyAlignment="1">
      <alignment horizontal="left" vertical="top"/>
    </xf>
    <xf numFmtId="1" fontId="0" fillId="0" borderId="0" xfId="0" applyNumberFormat="1" applyAlignment="1">
      <alignment horizontal="left" vertical="top"/>
    </xf>
    <xf numFmtId="0" fontId="2" fillId="0" borderId="1" xfId="0" applyFont="1" applyBorder="1" applyAlignment="1">
      <alignment horizontal="center"/>
    </xf>
    <xf numFmtId="0" fontId="0" fillId="0" borderId="1" xfId="0" applyBorder="1" applyAlignment="1">
      <alignment horizontal="center" vertical="center"/>
    </xf>
    <xf numFmtId="0" fontId="2" fillId="15" borderId="1" xfId="0" applyFont="1" applyFill="1" applyBorder="1" applyAlignment="1">
      <alignment horizontal="center"/>
    </xf>
    <xf numFmtId="0" fontId="2" fillId="15" borderId="1" xfId="0" applyFont="1" applyFill="1" applyBorder="1"/>
    <xf numFmtId="0" fontId="0" fillId="0" borderId="1" xfId="0" applyBorder="1"/>
    <xf numFmtId="0" fontId="0" fillId="0" borderId="1" xfId="0" applyBorder="1" applyAlignment="1">
      <alignment vertical="center"/>
    </xf>
    <xf numFmtId="0" fontId="0" fillId="16" borderId="19" xfId="0" applyFill="1" applyBorder="1" applyAlignment="1">
      <alignment horizontal="center" wrapText="1"/>
    </xf>
    <xf numFmtId="0" fontId="0" fillId="16" borderId="35" xfId="0" applyFill="1" applyBorder="1" applyAlignment="1">
      <alignment wrapText="1"/>
    </xf>
    <xf numFmtId="0" fontId="0" fillId="16" borderId="36" xfId="0" applyFill="1" applyBorder="1"/>
    <xf numFmtId="0" fontId="0" fillId="16" borderId="37" xfId="0" applyFill="1" applyBorder="1"/>
    <xf numFmtId="0" fontId="0" fillId="16" borderId="0" xfId="0" applyFill="1"/>
    <xf numFmtId="0" fontId="0" fillId="6" borderId="0" xfId="0" applyFill="1"/>
    <xf numFmtId="0" fontId="32" fillId="6" borderId="0" xfId="1" quotePrefix="1" applyFont="1" applyFill="1"/>
    <xf numFmtId="0" fontId="32" fillId="6" borderId="0" xfId="1" applyFont="1" applyFill="1"/>
    <xf numFmtId="0" fontId="0" fillId="6" borderId="0" xfId="0" applyFill="1" applyAlignment="1">
      <alignment wrapText="1"/>
    </xf>
    <xf numFmtId="17" fontId="0" fillId="0" borderId="30" xfId="0" applyNumberFormat="1" applyBorder="1" applyAlignment="1">
      <alignment horizontal="left" vertical="top"/>
    </xf>
    <xf numFmtId="0" fontId="33" fillId="0" borderId="0" xfId="0" quotePrefix="1" applyFont="1" applyAlignment="1">
      <alignment horizontal="center"/>
    </xf>
    <xf numFmtId="0" fontId="4" fillId="0" borderId="8" xfId="1" applyBorder="1"/>
    <xf numFmtId="22" fontId="0" fillId="0" borderId="30" xfId="0" applyNumberFormat="1" applyBorder="1" applyAlignment="1">
      <alignment horizontal="center" vertical="center" wrapText="1"/>
    </xf>
    <xf numFmtId="0" fontId="34" fillId="17" borderId="38" xfId="0" applyFont="1" applyFill="1" applyBorder="1"/>
    <xf numFmtId="0" fontId="0" fillId="0" borderId="0" xfId="0" pivotButton="1" applyAlignment="1">
      <alignment horizontal="center"/>
    </xf>
    <xf numFmtId="0" fontId="0" fillId="0" borderId="0" xfId="0" applyAlignment="1">
      <alignment horizontal="left" vertical="center" wrapText="1"/>
    </xf>
    <xf numFmtId="0" fontId="34" fillId="17" borderId="38" xfId="0" applyFont="1" applyFill="1" applyBorder="1" applyAlignment="1">
      <alignment horizontal="center"/>
    </xf>
    <xf numFmtId="0" fontId="2" fillId="5" borderId="8" xfId="0" applyFont="1" applyFill="1" applyBorder="1" applyAlignment="1">
      <alignment horizontal="center" vertical="center" wrapText="1"/>
    </xf>
    <xf numFmtId="14" fontId="2" fillId="5" borderId="8" xfId="0" applyNumberFormat="1" applyFont="1" applyFill="1" applyBorder="1" applyAlignment="1">
      <alignment horizontal="center" vertical="center" wrapText="1"/>
    </xf>
    <xf numFmtId="0" fontId="0" fillId="18" borderId="0" xfId="0" applyFill="1"/>
    <xf numFmtId="0" fontId="0" fillId="12" borderId="0" xfId="0" applyFill="1"/>
    <xf numFmtId="0" fontId="2" fillId="18" borderId="39" xfId="0" applyFont="1" applyFill="1" applyBorder="1"/>
    <xf numFmtId="0" fontId="34" fillId="17" borderId="40" xfId="0" applyFont="1" applyFill="1" applyBorder="1" applyAlignment="1">
      <alignment horizontal="center"/>
    </xf>
    <xf numFmtId="0" fontId="0" fillId="0" borderId="40" xfId="0" applyBorder="1" applyAlignment="1">
      <alignment horizontal="left" wrapText="1"/>
    </xf>
    <xf numFmtId="1" fontId="0" fillId="0" borderId="0" xfId="0" applyNumberFormat="1" applyAlignment="1">
      <alignment horizontal="center"/>
    </xf>
    <xf numFmtId="0" fontId="0" fillId="0" borderId="0" xfId="0" pivotButton="1" applyAlignment="1">
      <alignment horizontal="center" wrapText="1"/>
    </xf>
    <xf numFmtId="0" fontId="0" fillId="0" borderId="0" xfId="0" applyAlignment="1">
      <alignment horizontal="center" wrapText="1"/>
    </xf>
    <xf numFmtId="0" fontId="0" fillId="0" borderId="0" xfId="0" pivotButton="1" applyAlignment="1">
      <alignment horizontal="left" wrapText="1"/>
    </xf>
    <xf numFmtId="0" fontId="0" fillId="0" borderId="0" xfId="0" applyAlignment="1">
      <alignment horizontal="left" wrapText="1"/>
    </xf>
    <xf numFmtId="0" fontId="0" fillId="0" borderId="8" xfId="0" applyBorder="1" applyAlignment="1">
      <alignment horizontal="center"/>
    </xf>
    <xf numFmtId="0" fontId="0" fillId="0" borderId="8" xfId="0" applyBorder="1" applyAlignment="1">
      <alignment horizontal="center" wrapText="1"/>
    </xf>
    <xf numFmtId="14" fontId="0" fillId="0" borderId="8" xfId="0" applyNumberFormat="1" applyBorder="1" applyAlignment="1">
      <alignment horizontal="center"/>
    </xf>
    <xf numFmtId="1" fontId="0" fillId="0" borderId="8" xfId="0" applyNumberFormat="1" applyBorder="1" applyAlignment="1">
      <alignment horizontal="center"/>
    </xf>
    <xf numFmtId="0" fontId="33" fillId="0" borderId="8" xfId="0" quotePrefix="1" applyFont="1" applyBorder="1" applyAlignment="1">
      <alignment horizontal="center"/>
    </xf>
    <xf numFmtId="0" fontId="2" fillId="18" borderId="0" xfId="0" applyFont="1" applyFill="1" applyAlignment="1">
      <alignment horizontal="center" vertical="center"/>
    </xf>
    <xf numFmtId="0" fontId="0" fillId="0" borderId="30" xfId="0" applyBorder="1"/>
    <xf numFmtId="0" fontId="0" fillId="0" borderId="30" xfId="0" applyBorder="1" applyAlignment="1">
      <alignment wrapText="1"/>
    </xf>
    <xf numFmtId="14" fontId="0" fillId="0" borderId="30" xfId="0" applyNumberFormat="1" applyBorder="1" applyAlignment="1">
      <alignment horizontal="center" vertical="center" wrapText="1"/>
    </xf>
    <xf numFmtId="0" fontId="0" fillId="0" borderId="30" xfId="0" applyBorder="1" applyAlignment="1">
      <alignment horizontal="left" vertical="center" wrapText="1"/>
    </xf>
    <xf numFmtId="0" fontId="4" fillId="0" borderId="30" xfId="1" applyBorder="1"/>
    <xf numFmtId="0" fontId="29" fillId="0" borderId="8" xfId="0" applyFont="1" applyBorder="1" applyAlignment="1">
      <alignment horizontal="left" vertical="top" wrapText="1"/>
    </xf>
    <xf numFmtId="0" fontId="15" fillId="0" borderId="30" xfId="0" applyFont="1" applyBorder="1" applyAlignment="1">
      <alignment wrapText="1"/>
    </xf>
    <xf numFmtId="0" fontId="0" fillId="0" borderId="45" xfId="0" applyBorder="1"/>
    <xf numFmtId="0" fontId="0" fillId="0" borderId="45" xfId="0" applyBorder="1" applyAlignment="1">
      <alignment wrapText="1"/>
    </xf>
    <xf numFmtId="14" fontId="0" fillId="0" borderId="45" xfId="0" applyNumberFormat="1" applyBorder="1" applyAlignment="1">
      <alignment horizontal="center" vertical="center" wrapText="1"/>
    </xf>
    <xf numFmtId="0" fontId="0" fillId="0" borderId="45" xfId="0" applyBorder="1" applyAlignment="1">
      <alignment horizontal="left" vertical="top" wrapText="1"/>
    </xf>
    <xf numFmtId="0" fontId="15" fillId="0" borderId="45" xfId="0" applyFont="1" applyBorder="1" applyAlignment="1">
      <alignment wrapText="1"/>
    </xf>
    <xf numFmtId="0" fontId="34" fillId="17" borderId="0" xfId="0" applyFont="1" applyFill="1"/>
    <xf numFmtId="9" fontId="38" fillId="19" borderId="46" xfId="2" applyFont="1" applyFill="1" applyBorder="1" applyAlignment="1">
      <alignment horizontal="right" vertical="center"/>
    </xf>
    <xf numFmtId="0" fontId="0" fillId="0" borderId="30" xfId="0" applyBorder="1" applyAlignment="1">
      <alignment vertical="center"/>
    </xf>
    <xf numFmtId="0" fontId="0" fillId="0" borderId="30" xfId="0" applyBorder="1" applyAlignment="1">
      <alignment vertical="center" wrapText="1"/>
    </xf>
    <xf numFmtId="0" fontId="0" fillId="0" borderId="47" xfId="0" applyBorder="1" applyAlignment="1">
      <alignment horizontal="left" vertical="top" wrapText="1"/>
    </xf>
    <xf numFmtId="0" fontId="0" fillId="0" borderId="47" xfId="0" applyBorder="1" applyAlignment="1">
      <alignment vertical="center" wrapText="1"/>
    </xf>
    <xf numFmtId="0" fontId="18" fillId="6" borderId="47" xfId="0" applyFont="1" applyFill="1" applyBorder="1" applyAlignment="1">
      <alignment vertical="center" wrapText="1"/>
    </xf>
    <xf numFmtId="0" fontId="15" fillId="0" borderId="47" xfId="1" applyFont="1" applyBorder="1" applyAlignment="1">
      <alignment wrapText="1"/>
    </xf>
    <xf numFmtId="0" fontId="0" fillId="0" borderId="47" xfId="0" applyBorder="1" applyAlignment="1">
      <alignment horizontal="center" vertical="center" wrapText="1"/>
    </xf>
    <xf numFmtId="0" fontId="15" fillId="0" borderId="47" xfId="0" applyFont="1" applyBorder="1" applyAlignment="1">
      <alignment wrapText="1"/>
    </xf>
    <xf numFmtId="0" fontId="33" fillId="0" borderId="0" xfId="0" applyFont="1"/>
    <xf numFmtId="0" fontId="0" fillId="0" borderId="47" xfId="0" applyBorder="1"/>
    <xf numFmtId="0" fontId="18" fillId="6" borderId="8" xfId="0" applyFont="1" applyFill="1" applyBorder="1" applyAlignment="1">
      <alignment vertical="center" wrapText="1"/>
    </xf>
    <xf numFmtId="0" fontId="15" fillId="0" borderId="8" xfId="0" applyFont="1" applyBorder="1"/>
    <xf numFmtId="0" fontId="36" fillId="0" borderId="8" xfId="0" applyFont="1" applyBorder="1"/>
    <xf numFmtId="0" fontId="0" fillId="0" borderId="9" xfId="0" applyBorder="1" applyAlignment="1">
      <alignment horizontal="center" vertical="top"/>
    </xf>
    <xf numFmtId="0" fontId="22" fillId="0" borderId="30" xfId="0" applyFont="1" applyBorder="1" applyAlignment="1">
      <alignment wrapText="1"/>
    </xf>
    <xf numFmtId="0" fontId="18" fillId="0" borderId="0" xfId="0" applyFont="1"/>
    <xf numFmtId="14" fontId="0" fillId="0" borderId="0" xfId="0" applyNumberFormat="1" applyAlignment="1">
      <alignment horizontal="center" vertical="center" wrapText="1"/>
    </xf>
    <xf numFmtId="0" fontId="15" fillId="0" borderId="8" xfId="0" applyFont="1" applyBorder="1" applyAlignment="1">
      <alignment horizontal="left" wrapText="1"/>
    </xf>
    <xf numFmtId="0" fontId="0" fillId="0" borderId="15" xfId="0" applyBorder="1" applyAlignment="1">
      <alignment wrapText="1"/>
    </xf>
    <xf numFmtId="0" fontId="0" fillId="0" borderId="17" xfId="0" applyBorder="1" applyAlignment="1">
      <alignment horizontal="center"/>
    </xf>
    <xf numFmtId="0" fontId="2" fillId="12" borderId="11" xfId="0" applyFont="1" applyFill="1" applyBorder="1" applyAlignment="1">
      <alignment horizontal="center"/>
    </xf>
    <xf numFmtId="0" fontId="2" fillId="12" borderId="12" xfId="0" applyFont="1" applyFill="1" applyBorder="1" applyAlignment="1">
      <alignment horizontal="center" wrapText="1"/>
    </xf>
    <xf numFmtId="0" fontId="2" fillId="12" borderId="12" xfId="0" applyFont="1" applyFill="1" applyBorder="1" applyAlignment="1">
      <alignment horizontal="center"/>
    </xf>
    <xf numFmtId="0" fontId="2" fillId="12" borderId="13" xfId="0" applyFont="1" applyFill="1" applyBorder="1" applyAlignment="1">
      <alignment horizontal="center" wrapText="1"/>
    </xf>
    <xf numFmtId="14" fontId="0" fillId="0" borderId="8" xfId="0" applyNumberFormat="1" applyBorder="1" applyAlignment="1">
      <alignment horizontal="center" wrapText="1"/>
    </xf>
    <xf numFmtId="0" fontId="0" fillId="0" borderId="17" xfId="0" applyBorder="1" applyAlignment="1">
      <alignment horizontal="center" wrapText="1"/>
    </xf>
    <xf numFmtId="0" fontId="29" fillId="0" borderId="0" xfId="0" applyFont="1"/>
    <xf numFmtId="0" fontId="0" fillId="0" borderId="0" xfId="0" applyAlignment="1">
      <alignment vertical="top" wrapText="1"/>
    </xf>
    <xf numFmtId="0" fontId="0" fillId="0" borderId="48" xfId="0" applyBorder="1" applyAlignment="1">
      <alignment wrapText="1"/>
    </xf>
    <xf numFmtId="0" fontId="0" fillId="0" borderId="49" xfId="0" applyBorder="1" applyAlignment="1">
      <alignment horizontal="center" vertical="center" wrapText="1"/>
    </xf>
    <xf numFmtId="0" fontId="15" fillId="0" borderId="49" xfId="0" applyFont="1" applyBorder="1" applyAlignment="1">
      <alignment horizontal="left" vertical="top" wrapText="1"/>
    </xf>
    <xf numFmtId="0" fontId="0" fillId="0" borderId="49" xfId="0" applyBorder="1" applyAlignment="1">
      <alignment wrapText="1"/>
    </xf>
    <xf numFmtId="0" fontId="0" fillId="0" borderId="49" xfId="0" applyBorder="1"/>
    <xf numFmtId="0" fontId="0" fillId="0" borderId="50" xfId="0" applyBorder="1" applyAlignment="1">
      <alignment wrapText="1"/>
    </xf>
    <xf numFmtId="0" fontId="39" fillId="0" borderId="0" xfId="0" applyFont="1"/>
    <xf numFmtId="0" fontId="2" fillId="14" borderId="8" xfId="0" applyFont="1" applyFill="1" applyBorder="1" applyAlignment="1">
      <alignment horizontal="left" vertical="top"/>
    </xf>
    <xf numFmtId="0" fontId="39" fillId="6" borderId="8" xfId="0" applyFont="1" applyFill="1" applyBorder="1" applyAlignment="1">
      <alignment wrapText="1"/>
    </xf>
    <xf numFmtId="0" fontId="40" fillId="0" borderId="17" xfId="0" applyFont="1" applyBorder="1" applyAlignment="1">
      <alignment wrapText="1"/>
    </xf>
    <xf numFmtId="0" fontId="40" fillId="0" borderId="8" xfId="0" applyFont="1" applyBorder="1" applyAlignment="1">
      <alignment wrapText="1"/>
    </xf>
    <xf numFmtId="0" fontId="2" fillId="0" borderId="0" xfId="0" applyFont="1" applyAlignment="1">
      <alignment horizontal="center" wrapText="1"/>
    </xf>
    <xf numFmtId="0" fontId="2" fillId="8" borderId="12" xfId="0" applyFont="1" applyFill="1" applyBorder="1" applyAlignment="1">
      <alignment horizontal="center"/>
    </xf>
    <xf numFmtId="0" fontId="2" fillId="8" borderId="13" xfId="0" applyFont="1" applyFill="1" applyBorder="1" applyAlignment="1">
      <alignment wrapText="1"/>
    </xf>
    <xf numFmtId="0" fontId="18" fillId="0" borderId="18" xfId="0" applyFont="1" applyBorder="1" applyAlignment="1">
      <alignment wrapText="1"/>
    </xf>
    <xf numFmtId="0" fontId="0" fillId="16" borderId="0" xfId="0" applyFill="1" applyAlignment="1">
      <alignment wrapText="1"/>
    </xf>
    <xf numFmtId="0" fontId="0" fillId="16" borderId="51" xfId="0" applyFill="1" applyBorder="1" applyAlignment="1">
      <alignment wrapText="1"/>
    </xf>
    <xf numFmtId="0" fontId="0" fillId="16" borderId="52" xfId="0" applyFill="1" applyBorder="1"/>
    <xf numFmtId="0" fontId="0" fillId="16" borderId="53" xfId="0" applyFill="1" applyBorder="1"/>
    <xf numFmtId="0" fontId="0" fillId="16" borderId="19" xfId="0" applyFill="1" applyBorder="1"/>
    <xf numFmtId="0" fontId="0" fillId="16" borderId="19" xfId="0" applyFill="1" applyBorder="1" applyAlignment="1">
      <alignment horizontal="left" wrapText="1" indent="1"/>
    </xf>
    <xf numFmtId="0" fontId="0" fillId="16" borderId="19" xfId="0" applyFill="1" applyBorder="1" applyAlignment="1">
      <alignment horizontal="left" wrapText="1"/>
    </xf>
    <xf numFmtId="0" fontId="0" fillId="16" borderId="34" xfId="0" applyFill="1" applyBorder="1"/>
    <xf numFmtId="0" fontId="0" fillId="16" borderId="0" xfId="0" applyFill="1" applyAlignment="1">
      <alignment horizontal="center" wrapText="1"/>
    </xf>
    <xf numFmtId="0" fontId="0" fillId="16" borderId="19" xfId="0" applyFill="1" applyBorder="1" applyAlignment="1">
      <alignment wrapText="1"/>
    </xf>
    <xf numFmtId="0" fontId="0" fillId="0" borderId="17" xfId="0" applyBorder="1" applyAlignment="1">
      <alignment horizontal="center" vertical="center"/>
    </xf>
    <xf numFmtId="0" fontId="2" fillId="8" borderId="11" xfId="0" applyFont="1" applyFill="1" applyBorder="1" applyAlignment="1">
      <alignment horizontal="center"/>
    </xf>
    <xf numFmtId="0" fontId="2" fillId="20" borderId="14" xfId="0" applyFont="1" applyFill="1" applyBorder="1" applyAlignment="1">
      <alignment horizontal="center"/>
    </xf>
    <xf numFmtId="0" fontId="2" fillId="20" borderId="16" xfId="0" applyFont="1" applyFill="1" applyBorder="1" applyAlignment="1">
      <alignment horizontal="center"/>
    </xf>
    <xf numFmtId="0" fontId="2" fillId="0" borderId="8" xfId="0" applyFont="1" applyBorder="1" applyAlignment="1">
      <alignment vertical="center"/>
    </xf>
    <xf numFmtId="0" fontId="15" fillId="0" borderId="0" xfId="0" applyFont="1" applyAlignment="1">
      <alignment horizontal="left" vertical="center" wrapText="1"/>
    </xf>
    <xf numFmtId="0" fontId="15" fillId="0" borderId="0" xfId="0" applyFont="1" applyAlignment="1">
      <alignment wrapText="1"/>
    </xf>
    <xf numFmtId="0" fontId="0" fillId="0" borderId="16" xfId="0" applyBorder="1" applyAlignment="1">
      <alignment wrapText="1"/>
    </xf>
    <xf numFmtId="0" fontId="35" fillId="5" borderId="41" xfId="0" applyFont="1" applyFill="1" applyBorder="1" applyAlignment="1">
      <alignment horizontal="center" vertical="top" wrapText="1"/>
    </xf>
    <xf numFmtId="0" fontId="0" fillId="5" borderId="42" xfId="0" applyFill="1" applyBorder="1" applyAlignment="1">
      <alignment horizontal="center" vertical="top" wrapText="1"/>
    </xf>
    <xf numFmtId="0" fontId="0" fillId="5" borderId="43" xfId="0" applyFill="1" applyBorder="1" applyAlignment="1">
      <alignment horizontal="center" vertical="top" wrapText="1"/>
    </xf>
    <xf numFmtId="0" fontId="0" fillId="5" borderId="0" xfId="0" applyFill="1" applyAlignment="1">
      <alignment horizontal="center" vertical="top" wrapText="1"/>
    </xf>
    <xf numFmtId="0" fontId="0" fillId="5" borderId="44" xfId="0" applyFill="1" applyBorder="1" applyAlignment="1">
      <alignment horizontal="center" vertical="top" wrapText="1"/>
    </xf>
    <xf numFmtId="0" fontId="2" fillId="9" borderId="14" xfId="0" applyFont="1" applyFill="1" applyBorder="1" applyAlignment="1">
      <alignment horizontal="center"/>
    </xf>
    <xf numFmtId="0" fontId="2" fillId="9" borderId="15" xfId="0" applyFont="1" applyFill="1" applyBorder="1" applyAlignment="1">
      <alignment horizontal="center"/>
    </xf>
    <xf numFmtId="0" fontId="21" fillId="0" borderId="22" xfId="0" applyFont="1" applyBorder="1" applyAlignment="1">
      <alignment horizontal="center"/>
    </xf>
    <xf numFmtId="0" fontId="21" fillId="0" borderId="10" xfId="0" applyFont="1" applyBorder="1" applyAlignment="1">
      <alignment horizontal="center"/>
    </xf>
    <xf numFmtId="9" fontId="8" fillId="0" borderId="8" xfId="0" applyNumberFormat="1" applyFont="1" applyBorder="1" applyAlignment="1">
      <alignment horizontal="center" vertical="center"/>
    </xf>
    <xf numFmtId="0" fontId="2" fillId="0" borderId="8" xfId="0" applyFont="1" applyBorder="1" applyAlignment="1">
      <alignment horizontal="center" vertical="center"/>
    </xf>
    <xf numFmtId="0" fontId="2" fillId="0" borderId="8" xfId="0" applyFont="1" applyBorder="1" applyAlignment="1">
      <alignment horizontal="left"/>
    </xf>
    <xf numFmtId="0" fontId="0" fillId="0" borderId="8" xfId="0" applyBorder="1" applyAlignment="1">
      <alignment horizontal="left" vertical="top" wrapText="1"/>
    </xf>
    <xf numFmtId="0" fontId="0" fillId="0" borderId="0" xfId="0" applyNumberFormat="1"/>
    <xf numFmtId="0" fontId="0" fillId="0" borderId="0" xfId="0" applyNumberFormat="1" applyAlignment="1">
      <alignment horizontal="center"/>
    </xf>
    <xf numFmtId="0" fontId="0" fillId="0" borderId="19" xfId="0" applyNumberFormat="1" applyBorder="1" applyAlignment="1">
      <alignment horizontal="center" vertical="center"/>
    </xf>
    <xf numFmtId="0" fontId="0" fillId="16" borderId="19" xfId="0" applyNumberFormat="1" applyFill="1" applyBorder="1" applyAlignment="1">
      <alignment horizontal="center"/>
    </xf>
    <xf numFmtId="0" fontId="0" fillId="0" borderId="8" xfId="0" applyFill="1" applyBorder="1" applyAlignment="1">
      <alignment horizontal="center"/>
    </xf>
  </cellXfs>
  <cellStyles count="3">
    <cellStyle name="Hyperlink" xfId="1" builtinId="8"/>
    <cellStyle name="Normal" xfId="0" builtinId="0"/>
    <cellStyle name="Percent" xfId="2" builtinId="5"/>
  </cellStyles>
  <dxfs count="623">
    <dxf>
      <font>
        <sz val="16"/>
        <color theme="0"/>
      </font>
      <fill>
        <patternFill>
          <bgColor rgb="FF008080"/>
        </patternFill>
      </fill>
    </dxf>
    <dxf>
      <font>
        <b/>
        <i val="0"/>
        <sz val="11"/>
        <color rgb="FF498F8D"/>
        <name val="Calibri"/>
        <family val="2"/>
        <scheme val="minor"/>
      </font>
      <fill>
        <patternFill patternType="solid">
          <fgColor indexed="64"/>
          <bgColor rgb="FF008080"/>
        </patternFill>
      </fill>
      <border diagonalUp="0" diagonalDown="0">
        <left/>
        <right/>
        <top/>
        <bottom/>
        <vertical/>
        <horizontal/>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ill>
        <patternFill patternType="solid">
          <fgColor indexed="64"/>
          <bgColor rgb="FFFFF2CC"/>
        </patternFill>
      </fill>
    </dxf>
    <dxf>
      <fill>
        <patternFill patternType="none"/>
      </fill>
    </dxf>
    <dxf>
      <alignment wrapText="1"/>
    </dxf>
    <dxf>
      <alignment wrapText="1"/>
    </dxf>
    <dxf>
      <alignment wrapText="1"/>
    </dxf>
    <dxf>
      <alignment wrapText="1"/>
    </dxf>
    <dxf>
      <alignment wrapText="1"/>
    </dxf>
    <dxf>
      <alignment wrapText="1"/>
    </dxf>
    <dxf>
      <alignment horizontal="left"/>
    </dxf>
    <dxf>
      <alignment horizontal="left"/>
    </dxf>
    <dxf>
      <alignment horizontal="left"/>
    </dxf>
    <dxf>
      <alignment horizontal="left"/>
    </dxf>
    <dxf>
      <alignment horizontal="left"/>
    </dxf>
    <dxf>
      <alignment horizontal="left"/>
    </dxf>
    <dxf>
      <alignment wrapText="1"/>
    </dxf>
    <dxf>
      <alignment wrapText="1"/>
    </dxf>
    <dxf>
      <alignment wrapText="1"/>
    </dxf>
    <dxf>
      <alignment wrapText="1"/>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alignment wrapText="1"/>
    </dxf>
    <dxf>
      <fill>
        <patternFill patternType="solid">
          <bgColor rgb="FF8CB6A9"/>
        </patternFill>
      </fill>
    </dxf>
    <dxf>
      <fill>
        <patternFill patternType="solid">
          <bgColor rgb="FF8CB6A9"/>
        </patternFill>
      </fill>
    </dxf>
    <dxf>
      <fill>
        <patternFill patternType="solid">
          <bgColor rgb="FF8CB6A9"/>
        </patternFill>
      </fill>
    </dxf>
    <dxf>
      <fill>
        <patternFill patternType="solid">
          <bgColor rgb="FF8CB6A9"/>
        </patternFill>
      </fill>
    </dxf>
    <dxf>
      <fill>
        <patternFill patternType="solid">
          <bgColor rgb="FF8CB6A9"/>
        </patternFill>
      </fill>
    </dxf>
    <dxf>
      <fill>
        <patternFill patternType="solid">
          <bgColor rgb="FF8CB6A9"/>
        </patternFill>
      </fill>
    </dxf>
    <dxf>
      <fill>
        <patternFill patternType="solid">
          <bgColor rgb="FF8CB6A9"/>
        </patternFill>
      </fill>
    </dxf>
    <dxf>
      <fill>
        <patternFill patternType="solid">
          <bgColor rgb="FF8CB6A9"/>
        </patternFill>
      </fill>
    </dxf>
    <dxf>
      <fill>
        <patternFill patternType="solid">
          <bgColor rgb="FF8CB6A9"/>
        </patternFill>
      </fill>
    </dxf>
    <dxf>
      <fill>
        <patternFill patternType="solid">
          <bgColor rgb="FF8CB6A9"/>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fill>
        <patternFill patternType="solid">
          <fgColor indexed="64"/>
          <bgColor rgb="FF8CB6A9"/>
        </patternFill>
      </fill>
    </dxf>
    <dxf>
      <fill>
        <patternFill patternType="solid">
          <fgColor indexed="64"/>
          <bgColor rgb="FF8CB6A9"/>
        </patternFill>
      </fill>
    </dxf>
    <dxf>
      <fill>
        <patternFill patternType="solid">
          <fgColor indexed="64"/>
          <bgColor rgb="FF8CB6A9"/>
        </patternFill>
      </fill>
    </dxf>
    <dxf>
      <fill>
        <patternFill patternType="solid">
          <fgColor indexed="64"/>
          <bgColor rgb="FF8CB6A9"/>
        </patternFill>
      </fill>
    </dxf>
    <dxf>
      <fill>
        <patternFill patternType="solid">
          <fgColor indexed="64"/>
          <bgColor rgb="FF8CB6A9"/>
        </patternFill>
      </fill>
    </dxf>
    <dxf>
      <fill>
        <patternFill patternType="solid">
          <fgColor indexed="64"/>
          <bgColor rgb="FF8CB6A9"/>
        </patternFill>
      </fill>
    </dxf>
    <dxf>
      <fill>
        <patternFill patternType="solid">
          <fgColor indexed="64"/>
          <bgColor rgb="FF8CB6A9"/>
        </patternFill>
      </fill>
    </dxf>
    <dxf>
      <fill>
        <patternFill patternType="solid">
          <fgColor indexed="64"/>
          <bgColor rgb="FF8CB6A9"/>
        </patternFill>
      </fill>
    </dxf>
    <dxf>
      <fill>
        <patternFill patternType="solid">
          <fgColor indexed="64"/>
          <bgColor rgb="FF8CB6A9"/>
        </patternFill>
      </fill>
    </dxf>
    <dxf>
      <fill>
        <patternFill patternType="solid">
          <fgColor indexed="64"/>
          <bgColor rgb="FF8CB6A9"/>
        </patternFill>
      </fill>
    </dxf>
    <dxf>
      <fill>
        <patternFill patternType="solid">
          <fgColor indexed="64"/>
          <bgColor rgb="FF8CB6A9"/>
        </patternFill>
      </fill>
    </dxf>
    <dxf>
      <fill>
        <patternFill patternType="solid">
          <fgColor indexed="64"/>
          <bgColor rgb="FF8CB6A9"/>
        </patternFill>
      </fill>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alignment wrapText="1"/>
    </dxf>
    <dxf>
      <alignment wrapText="1"/>
    </dxf>
    <dxf>
      <alignment wrapText="1"/>
    </dxf>
    <dxf>
      <alignment wrapText="1"/>
    </dxf>
    <dxf>
      <alignment wrapText="1"/>
    </dxf>
    <dxf>
      <alignment wrapText="1"/>
    </dxf>
    <dxf>
      <alignment wrapText="1"/>
    </dxf>
    <dxf>
      <alignment wrapText="1"/>
    </dxf>
    <dxf>
      <alignment horizontal="center"/>
    </dxf>
    <dxf>
      <alignment horizontal="center"/>
    </dxf>
    <dxf>
      <alignment horizontal="center"/>
    </dxf>
    <dxf>
      <alignment horizontal="center"/>
    </dxf>
    <dxf>
      <alignment horizontal="center"/>
    </dxf>
    <dxf>
      <fill>
        <patternFill patternType="solid">
          <fgColor indexed="64"/>
          <bgColor rgb="FF8CB6A9"/>
        </patternFill>
      </fill>
    </dxf>
    <dxf>
      <fill>
        <patternFill patternType="solid">
          <fgColor indexed="64"/>
          <bgColor rgb="FF8CB6A9"/>
        </patternFill>
      </fill>
    </dxf>
    <dxf>
      <fill>
        <patternFill patternType="solid">
          <fgColor indexed="64"/>
          <bgColor rgb="FF8CB6A9"/>
        </patternFill>
      </fill>
    </dxf>
    <dxf>
      <fill>
        <patternFill patternType="solid">
          <fgColor indexed="64"/>
          <bgColor rgb="FF8CB6A9"/>
        </patternFill>
      </fill>
    </dxf>
    <dxf>
      <fill>
        <patternFill patternType="solid">
          <fgColor indexed="64"/>
          <bgColor rgb="FF8CB6A9"/>
        </patternFill>
      </fill>
    </dxf>
    <dxf>
      <fill>
        <patternFill patternType="solid">
          <fgColor indexed="64"/>
          <bgColor rgb="FFA5D6C7"/>
        </patternFill>
      </fill>
    </dxf>
    <dxf>
      <fill>
        <patternFill patternType="solid">
          <fgColor indexed="64"/>
          <bgColor rgb="FFA5D6C7"/>
        </patternFill>
      </fill>
    </dxf>
    <dxf>
      <alignment horizontal="center"/>
    </dxf>
    <dxf>
      <fill>
        <patternFill patternType="solid">
          <fgColor indexed="64"/>
          <bgColor rgb="FFA5D6C7"/>
        </patternFill>
      </fill>
    </dxf>
    <dxf>
      <fill>
        <patternFill patternType="solid">
          <fgColor indexed="64"/>
          <bgColor rgb="FFA5D6C7"/>
        </patternFill>
      </fill>
    </dxf>
    <dxf>
      <fill>
        <patternFill patternType="solid">
          <fgColor indexed="64"/>
          <bgColor rgb="FFA5D6C7"/>
        </patternFill>
      </fill>
    </dxf>
    <dxf>
      <fill>
        <patternFill patternType="solid">
          <fgColor indexed="64"/>
          <bgColor rgb="FFA5D6C7"/>
        </patternFill>
      </fill>
    </dxf>
    <dxf>
      <alignment horizontal="center"/>
    </dxf>
    <dxf>
      <alignment wrapText="1"/>
    </dxf>
    <dxf>
      <alignment wrapText="1"/>
    </dxf>
    <dxf>
      <alignment wrapText="1"/>
    </dxf>
    <dxf>
      <alignment wrapText="1"/>
    </dxf>
    <dxf>
      <alignment wrapText="1"/>
    </dxf>
    <dxf>
      <alignment wrapText="1"/>
    </dxf>
    <dxf>
      <alignment wrapText="1"/>
    </dxf>
    <dxf>
      <alignment wrapText="1"/>
    </dxf>
    <dxf>
      <alignment wrapText="1"/>
    </dxf>
    <dxf>
      <fill>
        <patternFill patternType="solid">
          <fgColor indexed="64"/>
          <bgColor rgb="FFA5D6C7"/>
        </patternFill>
      </fill>
    </dxf>
    <dxf>
      <fill>
        <patternFill patternType="solid">
          <fgColor indexed="64"/>
          <bgColor rgb="FFA5D6C7"/>
        </patternFill>
      </fill>
    </dxf>
    <dxf>
      <fill>
        <patternFill patternType="solid">
          <fgColor indexed="64"/>
          <bgColor rgb="FFA5D6C7"/>
        </patternFill>
      </fill>
    </dxf>
    <dxf>
      <fill>
        <patternFill patternType="solid">
          <fgColor indexed="64"/>
          <bgColor rgb="FFA5D6C7"/>
        </patternFill>
      </fill>
    </dxf>
    <dxf>
      <fill>
        <patternFill patternType="solid">
          <fgColor indexed="64"/>
          <bgColor rgb="FFA5D6C7"/>
        </patternFill>
      </fill>
    </dxf>
    <dxf>
      <fill>
        <patternFill patternType="solid">
          <fgColor indexed="64"/>
          <bgColor rgb="FFA5D6C7"/>
        </patternFill>
      </fill>
    </dxf>
    <dxf>
      <fill>
        <patternFill patternType="solid">
          <fgColor indexed="64"/>
          <bgColor rgb="FFA5D6C7"/>
        </patternFill>
      </fill>
    </dxf>
    <dxf>
      <fill>
        <patternFill patternType="solid">
          <fgColor indexed="64"/>
          <bgColor rgb="FFA5D6C7"/>
        </patternFill>
      </fill>
    </dxf>
    <dxf>
      <fill>
        <patternFill patternType="solid">
          <fgColor indexed="64"/>
          <bgColor rgb="FFA5D6C7"/>
        </patternFill>
      </fill>
    </dxf>
    <dxf>
      <fill>
        <patternFill patternType="solid">
          <fgColor indexed="64"/>
          <bgColor rgb="FFA5D6C7"/>
        </patternFill>
      </fill>
    </dxf>
    <dxf>
      <fill>
        <patternFill patternType="solid">
          <fgColor indexed="64"/>
          <bgColor rgb="FFA5D6C7"/>
        </patternFill>
      </fill>
    </dxf>
    <dxf>
      <fill>
        <patternFill patternType="solid">
          <fgColor indexed="64"/>
          <bgColor rgb="FFA5D6C7"/>
        </patternFill>
      </fill>
    </dxf>
    <dxf>
      <fill>
        <patternFill patternType="solid">
          <fgColor indexed="64"/>
          <bgColor rgb="FFA5D6C7"/>
        </patternFill>
      </fill>
    </dxf>
    <dxf>
      <fill>
        <patternFill patternType="solid">
          <fgColor indexed="64"/>
          <bgColor rgb="FFA5D6C7"/>
        </patternFill>
      </fill>
    </dxf>
    <dxf>
      <fill>
        <patternFill patternType="solid">
          <fgColor indexed="64"/>
          <bgColor rgb="FFA5D6C7"/>
        </patternFill>
      </fill>
    </dxf>
    <dxf>
      <fill>
        <patternFill patternType="solid">
          <fgColor indexed="64"/>
          <bgColor rgb="FFA5D6C7"/>
        </patternFill>
      </fill>
    </dxf>
    <dxf>
      <alignment horizontal="center"/>
    </dxf>
    <dxf>
      <alignment horizontal="center"/>
    </dxf>
    <dxf>
      <alignment vertical="center"/>
    </dxf>
    <dxf>
      <alignment vertical="center"/>
    </dxf>
    <dxf>
      <alignment horizontal="center"/>
    </dxf>
    <dxf>
      <alignment horizontal="center"/>
    </dxf>
    <dxf>
      <alignment wrapText="1"/>
    </dxf>
    <dxf>
      <alignment wrapText="1"/>
    </dxf>
    <dxf>
      <alignment wrapText="1"/>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alignment vertical="center"/>
    </dxf>
    <dxf>
      <alignment vertical="center"/>
    </dxf>
    <dxf>
      <alignment horizontal="center"/>
    </dxf>
    <dxf>
      <alignment horizontal="center"/>
    </dxf>
    <dxf>
      <alignment wrapText="1"/>
    </dxf>
    <dxf>
      <alignment wrapText="1"/>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fill>
        <patternFill patternType="solid">
          <fgColor indexed="64"/>
          <bgColor rgb="FFDDEBF7"/>
        </patternFill>
      </fill>
    </dxf>
    <dxf>
      <fill>
        <patternFill patternType="solid">
          <fgColor indexed="64"/>
          <bgColor rgb="FFDDEBF7"/>
        </patternFill>
      </fill>
    </dxf>
    <dxf>
      <fill>
        <patternFill patternType="solid">
          <fgColor indexed="64"/>
          <bgColor rgb="FFDDEBF7"/>
        </patternFill>
      </fill>
    </dxf>
    <dxf>
      <alignment horizontal="center"/>
    </dxf>
    <dxf>
      <alignment horizontal="center"/>
    </dxf>
    <dxf>
      <alignment horizontal="center"/>
    </dxf>
    <dxf>
      <font>
        <color rgb="FF00B050"/>
      </font>
      <border>
        <left style="thin">
          <color rgb="FF9C0006"/>
        </left>
        <right style="thin">
          <color rgb="FF9C0006"/>
        </right>
        <top style="thin">
          <color rgb="FF9C0006"/>
        </top>
        <bottom style="thin">
          <color rgb="FF9C0006"/>
        </bottom>
      </border>
    </dxf>
    <dxf>
      <alignment horizontal="general" vertical="bottom" textRotation="0" wrapText="1" indent="0" justifyLastLine="0" shrinkToFit="0" readingOrder="0"/>
    </dxf>
    <dxf>
      <fill>
        <patternFill patternType="solid">
          <fgColor indexed="64"/>
          <bgColor rgb="FFDDEBF7"/>
        </patternFill>
      </fill>
    </dxf>
    <dxf>
      <fill>
        <patternFill patternType="solid">
          <fgColor indexed="64"/>
          <bgColor rgb="FFDDEBF7"/>
        </patternFill>
      </fill>
    </dxf>
    <dxf>
      <fill>
        <patternFill patternType="solid">
          <fgColor indexed="64"/>
          <bgColor rgb="FFDDEBF7"/>
        </patternFill>
      </fill>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alignment wrapText="1"/>
    </dxf>
    <dxf>
      <alignment wrapText="1"/>
    </dxf>
    <dxf>
      <alignment wrapText="1"/>
    </dxf>
    <dxf>
      <alignment wrapText="1"/>
    </dxf>
    <dxf>
      <alignment horizontal="left"/>
    </dxf>
    <dxf>
      <alignment horizontal="left"/>
    </dxf>
    <dxf>
      <alignment horizontal="left"/>
    </dxf>
    <dxf>
      <alignment horizontal="left"/>
    </dxf>
    <dxf>
      <alignment horizontal="left"/>
    </dxf>
    <dxf>
      <alignment horizontal="left"/>
    </dxf>
    <dxf>
      <alignment wrapText="1"/>
    </dxf>
    <dxf>
      <alignment wrapText="1"/>
    </dxf>
    <dxf>
      <alignment wrapText="1"/>
    </dxf>
    <dxf>
      <alignment wrapText="1"/>
    </dxf>
    <dxf>
      <alignment wrapText="1"/>
    </dxf>
    <dxf>
      <alignment wrapText="1"/>
    </dxf>
    <dxf>
      <fill>
        <patternFill patternType="none"/>
      </fill>
    </dxf>
    <dxf>
      <fill>
        <patternFill patternType="solid">
          <fgColor indexed="64"/>
          <bgColor rgb="FFFFF2CC"/>
        </patternFill>
      </fill>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b/>
        <i val="0"/>
        <color rgb="FFC00000"/>
      </font>
      <fill>
        <patternFill patternType="solid">
          <bgColor rgb="FFF4B084"/>
        </patternFill>
      </fill>
    </dxf>
    <dxf>
      <font>
        <b/>
        <i val="0"/>
        <color rgb="FFC00000"/>
      </font>
      <fill>
        <patternFill patternType="solid">
          <bgColor rgb="FFF4B084"/>
        </patternFill>
      </fill>
    </dxf>
    <dxf>
      <font>
        <b/>
        <i val="0"/>
        <color rgb="FFC00000"/>
      </font>
      <fill>
        <patternFill patternType="solid">
          <bgColor rgb="FFF4B084"/>
        </patternFill>
      </fill>
    </dxf>
    <dxf>
      <font>
        <b/>
        <i val="0"/>
        <color rgb="FFC00000"/>
      </font>
      <fill>
        <patternFill patternType="solid">
          <bgColor rgb="FFF4B084"/>
        </patternFill>
      </fill>
    </dxf>
    <dxf>
      <font>
        <b/>
        <i val="0"/>
        <color rgb="FFC00000"/>
      </font>
      <fill>
        <patternFill patternType="solid">
          <bgColor rgb="FFF4B084"/>
        </patternFill>
      </fill>
    </dxf>
    <dxf>
      <font>
        <b/>
        <i val="0"/>
        <color rgb="FFC00000"/>
      </font>
      <fill>
        <patternFill patternType="solid">
          <bgColor rgb="FFF4B084"/>
        </patternFill>
      </fill>
    </dxf>
    <dxf>
      <font>
        <b/>
        <i val="0"/>
        <color rgb="FF000000"/>
      </font>
      <fill>
        <patternFill patternType="solid">
          <bgColor rgb="FFEDEDED"/>
        </patternFill>
      </fill>
    </dxf>
    <dxf>
      <font>
        <b/>
        <i val="0"/>
        <color rgb="FFBF8F00"/>
      </font>
      <fill>
        <patternFill patternType="solid">
          <bgColor rgb="FFFFF8E5"/>
        </patternFill>
      </fill>
    </dxf>
    <dxf>
      <font>
        <b/>
        <i val="0"/>
        <color rgb="FF92D050"/>
      </font>
      <fill>
        <patternFill patternType="solid">
          <bgColor rgb="FFF2FAED"/>
        </patternFill>
      </fill>
    </dxf>
    <dxf>
      <font>
        <b/>
        <i val="0"/>
        <color rgb="FF5B9BD5"/>
      </font>
      <fill>
        <patternFill patternType="solid">
          <bgColor rgb="FFD9F6FA"/>
        </patternFill>
      </fill>
    </dxf>
    <dxf>
      <font>
        <b/>
        <i val="0"/>
        <color rgb="FF9C5700"/>
      </font>
      <fill>
        <patternFill patternType="solid">
          <bgColor rgb="FFFFEB9C"/>
        </patternFill>
      </fill>
    </dxf>
    <dxf>
      <font>
        <b/>
        <i val="0"/>
        <color rgb="FF006100"/>
      </font>
      <fill>
        <patternFill patternType="solid">
          <bgColor rgb="FFC6EFCE"/>
        </patternFill>
      </fill>
    </dxf>
    <dxf>
      <font>
        <b/>
        <i val="0"/>
        <color rgb="FF9C0006"/>
      </font>
      <fill>
        <patternFill patternType="solid">
          <bgColor rgb="FFFFC7CE"/>
        </patternFill>
      </fill>
    </dxf>
    <dxf>
      <font>
        <b/>
        <i val="0"/>
        <color rgb="FF006100"/>
      </font>
      <fill>
        <patternFill patternType="solid">
          <bgColor rgb="FFC6EFCE"/>
        </patternFill>
      </fill>
    </dxf>
    <dxf>
      <font>
        <b/>
        <i val="0"/>
        <color rgb="FF9C0006"/>
      </font>
      <fill>
        <patternFill patternType="solid">
          <bgColor rgb="FFFFC7CE"/>
        </patternFill>
      </fill>
    </dxf>
    <dxf>
      <font>
        <b/>
        <i val="0"/>
        <color rgb="FF000000"/>
      </font>
      <fill>
        <patternFill patternType="solid">
          <bgColor rgb="FFDBDBDB"/>
        </patternFill>
      </fill>
    </dxf>
    <dxf>
      <font>
        <b/>
        <i val="0"/>
        <color rgb="FF9C0006"/>
      </font>
      <fill>
        <patternFill patternType="solid">
          <bgColor rgb="FFFFC7CE"/>
        </patternFill>
      </fill>
    </dxf>
    <dxf>
      <font>
        <b/>
        <i val="0"/>
        <color rgb="FF006100"/>
      </font>
      <fill>
        <patternFill patternType="solid">
          <bgColor rgb="FFC6EFCE"/>
        </patternFill>
      </fill>
    </dxf>
    <dxf>
      <font>
        <b/>
        <i val="0"/>
        <color rgb="FF006100"/>
      </font>
      <fill>
        <patternFill patternType="solid">
          <bgColor rgb="FFC6EFCE"/>
        </patternFill>
      </fill>
    </dxf>
    <dxf>
      <font>
        <b/>
        <i val="0"/>
        <color rgb="FF2F75B5"/>
      </font>
      <fill>
        <patternFill patternType="solid">
          <bgColor rgb="FFDDEBF7"/>
        </patternFill>
      </fill>
    </dxf>
    <dxf>
      <font>
        <b/>
        <i val="0"/>
        <color rgb="FF9C5700"/>
      </font>
      <fill>
        <patternFill patternType="solid">
          <bgColor rgb="FFFFEB9C"/>
        </patternFill>
      </fill>
    </dxf>
    <dxf>
      <font>
        <b/>
        <i val="0"/>
        <color rgb="FF9C0006"/>
      </font>
      <fill>
        <patternFill patternType="solid">
          <bgColor rgb="FFFFC7CE"/>
        </patternFill>
      </fill>
    </dxf>
    <dxf>
      <alignment horizontal="center"/>
    </dxf>
    <dxf>
      <alignment horizontal="center"/>
    </dxf>
    <dxf>
      <alignment horizontal="center"/>
    </dxf>
    <dxf>
      <alignment horizontal="center"/>
    </dxf>
    <dxf>
      <alignment horizontal="cent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alignment wrapText="1"/>
    </dxf>
    <dxf>
      <alignment wrapText="1"/>
    </dxf>
    <dxf>
      <alignment horizontal="center"/>
    </dxf>
    <dxf>
      <alignment horizontal="center"/>
    </dxf>
    <dxf>
      <alignment vertical="center"/>
    </dxf>
    <dxf>
      <alignment vertical="cent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alignment wrapText="1"/>
    </dxf>
    <dxf>
      <alignment wrapText="1"/>
    </dxf>
    <dxf>
      <alignment wrapText="1"/>
    </dxf>
    <dxf>
      <alignment horizontal="center"/>
    </dxf>
    <dxf>
      <alignment horizontal="center"/>
    </dxf>
    <dxf>
      <alignment vertical="center"/>
    </dxf>
    <dxf>
      <alignment vertical="center"/>
    </dxf>
    <dxf>
      <font>
        <b/>
        <i val="0"/>
        <u/>
        <color rgb="FF9C0006"/>
      </font>
    </dxf>
    <dxf>
      <font>
        <b/>
        <i val="0"/>
        <strike val="0"/>
        <color rgb="FFFF0000"/>
      </font>
      <fill>
        <patternFill>
          <bgColor theme="0"/>
        </patternFill>
      </fill>
    </dxf>
    <dxf>
      <font>
        <b/>
        <i val="0"/>
        <strike val="0"/>
        <color theme="9" tint="-0.24994659260841701"/>
      </font>
      <fill>
        <patternFill>
          <bgColor theme="0"/>
        </patternFill>
      </fill>
    </dxf>
    <dxf>
      <font>
        <b val="0"/>
        <i val="0"/>
        <strike val="0"/>
        <color rgb="FFFF0000"/>
      </font>
      <fill>
        <patternFill>
          <bgColor theme="0"/>
        </patternFill>
      </fill>
    </dxf>
    <dxf>
      <font>
        <color rgb="FF9C0006"/>
      </font>
      <fill>
        <patternFill>
          <bgColor rgb="FFFFC7CE"/>
        </patternFill>
      </fill>
    </dxf>
    <dxf>
      <fill>
        <patternFill patternType="solid">
          <fgColor indexed="64"/>
          <bgColor rgb="FFA5D6C7"/>
        </patternFill>
      </fill>
    </dxf>
    <dxf>
      <fill>
        <patternFill patternType="solid">
          <fgColor indexed="64"/>
          <bgColor rgb="FFA5D6C7"/>
        </patternFill>
      </fill>
    </dxf>
    <dxf>
      <fill>
        <patternFill patternType="solid">
          <fgColor indexed="64"/>
          <bgColor rgb="FFA5D6C7"/>
        </patternFill>
      </fill>
    </dxf>
    <dxf>
      <fill>
        <patternFill patternType="solid">
          <fgColor indexed="64"/>
          <bgColor rgb="FFA5D6C7"/>
        </patternFill>
      </fill>
    </dxf>
    <dxf>
      <fill>
        <patternFill patternType="solid">
          <fgColor indexed="64"/>
          <bgColor rgb="FFA5D6C7"/>
        </patternFill>
      </fill>
    </dxf>
    <dxf>
      <fill>
        <patternFill patternType="solid">
          <fgColor indexed="64"/>
          <bgColor rgb="FFA5D6C7"/>
        </patternFill>
      </fill>
    </dxf>
    <dxf>
      <fill>
        <patternFill patternType="solid">
          <fgColor indexed="64"/>
          <bgColor rgb="FFA5D6C7"/>
        </patternFill>
      </fill>
    </dxf>
    <dxf>
      <fill>
        <patternFill patternType="solid">
          <fgColor indexed="64"/>
          <bgColor rgb="FFA5D6C7"/>
        </patternFill>
      </fill>
    </dxf>
    <dxf>
      <fill>
        <patternFill patternType="solid">
          <fgColor indexed="64"/>
          <bgColor rgb="FFA5D6C7"/>
        </patternFill>
      </fill>
    </dxf>
    <dxf>
      <fill>
        <patternFill patternType="solid">
          <fgColor indexed="64"/>
          <bgColor rgb="FFA5D6C7"/>
        </patternFill>
      </fill>
    </dxf>
    <dxf>
      <fill>
        <patternFill patternType="solid">
          <fgColor indexed="64"/>
          <bgColor rgb="FFA5D6C7"/>
        </patternFill>
      </fill>
    </dxf>
    <dxf>
      <fill>
        <patternFill patternType="solid">
          <fgColor indexed="64"/>
          <bgColor rgb="FFA5D6C7"/>
        </patternFill>
      </fill>
    </dxf>
    <dxf>
      <fill>
        <patternFill patternType="solid">
          <fgColor indexed="64"/>
          <bgColor rgb="FFA5D6C7"/>
        </patternFill>
      </fill>
    </dxf>
    <dxf>
      <fill>
        <patternFill patternType="solid">
          <fgColor indexed="64"/>
          <bgColor rgb="FFA5D6C7"/>
        </patternFill>
      </fill>
    </dxf>
    <dxf>
      <fill>
        <patternFill patternType="solid">
          <fgColor indexed="64"/>
          <bgColor rgb="FFA5D6C7"/>
        </patternFill>
      </fill>
    </dxf>
    <dxf>
      <fill>
        <patternFill patternType="solid">
          <fgColor indexed="64"/>
          <bgColor rgb="FFA5D6C7"/>
        </patternFill>
      </fill>
    </dxf>
    <dxf>
      <alignment wrapText="1"/>
    </dxf>
    <dxf>
      <alignment wrapText="1"/>
    </dxf>
    <dxf>
      <alignment wrapText="1"/>
    </dxf>
    <dxf>
      <alignment wrapText="1"/>
    </dxf>
    <dxf>
      <alignment wrapText="1"/>
    </dxf>
    <dxf>
      <alignment wrapText="1"/>
    </dxf>
    <dxf>
      <alignment wrapText="1"/>
    </dxf>
    <dxf>
      <alignment wrapText="1"/>
    </dxf>
    <dxf>
      <alignment wrapText="1"/>
    </dxf>
    <dxf>
      <alignment horizontal="center"/>
    </dxf>
    <dxf>
      <fill>
        <patternFill patternType="solid">
          <fgColor indexed="64"/>
          <bgColor rgb="FFA5D6C7"/>
        </patternFill>
      </fill>
    </dxf>
    <dxf>
      <fill>
        <patternFill patternType="solid">
          <fgColor indexed="64"/>
          <bgColor rgb="FFA5D6C7"/>
        </patternFill>
      </fill>
    </dxf>
    <dxf>
      <fill>
        <patternFill patternType="solid">
          <fgColor indexed="64"/>
          <bgColor rgb="FFA5D6C7"/>
        </patternFill>
      </fill>
    </dxf>
    <dxf>
      <fill>
        <patternFill patternType="solid">
          <fgColor indexed="64"/>
          <bgColor rgb="FFA5D6C7"/>
        </patternFill>
      </fill>
    </dxf>
    <dxf>
      <alignment horizontal="center"/>
    </dxf>
    <dxf>
      <fill>
        <patternFill patternType="solid">
          <fgColor indexed="64"/>
          <bgColor rgb="FFA5D6C7"/>
        </patternFill>
      </fill>
    </dxf>
    <dxf>
      <fill>
        <patternFill patternType="solid">
          <fgColor indexed="64"/>
          <bgColor rgb="FFA5D6C7"/>
        </patternFill>
      </fill>
    </dxf>
    <dxf>
      <fill>
        <patternFill patternType="solid">
          <fgColor indexed="64"/>
          <bgColor rgb="FF8CB6A9"/>
        </patternFill>
      </fill>
    </dxf>
    <dxf>
      <fill>
        <patternFill patternType="solid">
          <fgColor indexed="64"/>
          <bgColor rgb="FF8CB6A9"/>
        </patternFill>
      </fill>
    </dxf>
    <dxf>
      <fill>
        <patternFill patternType="solid">
          <fgColor indexed="64"/>
          <bgColor rgb="FF8CB6A9"/>
        </patternFill>
      </fill>
    </dxf>
    <dxf>
      <fill>
        <patternFill patternType="solid">
          <fgColor indexed="64"/>
          <bgColor rgb="FF8CB6A9"/>
        </patternFill>
      </fill>
    </dxf>
    <dxf>
      <fill>
        <patternFill patternType="solid">
          <fgColor indexed="64"/>
          <bgColor rgb="FF8CB6A9"/>
        </patternFill>
      </fill>
    </dxf>
    <dxf>
      <alignment horizontal="center"/>
    </dxf>
    <dxf>
      <alignment horizontal="center"/>
    </dxf>
    <dxf>
      <alignment horizontal="center"/>
    </dxf>
    <dxf>
      <alignment horizontal="center"/>
    </dxf>
    <dxf>
      <alignment horizontal="center"/>
    </dxf>
    <dxf>
      <alignment wrapText="1"/>
    </dxf>
    <dxf>
      <alignment wrapText="1"/>
    </dxf>
    <dxf>
      <alignment wrapText="1"/>
    </dxf>
    <dxf>
      <alignment wrapText="1"/>
    </dxf>
    <dxf>
      <alignment wrapText="1"/>
    </dxf>
    <dxf>
      <alignment wrapText="1"/>
    </dxf>
    <dxf>
      <alignment wrapText="1"/>
    </dxf>
    <dxf>
      <alignment wrapText="1"/>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fill>
        <patternFill patternType="solid">
          <fgColor indexed="64"/>
          <bgColor rgb="FF8CB6A9"/>
        </patternFill>
      </fill>
    </dxf>
    <dxf>
      <fill>
        <patternFill patternType="solid">
          <fgColor indexed="64"/>
          <bgColor rgb="FF8CB6A9"/>
        </patternFill>
      </fill>
    </dxf>
    <dxf>
      <fill>
        <patternFill patternType="solid">
          <fgColor indexed="64"/>
          <bgColor rgb="FF8CB6A9"/>
        </patternFill>
      </fill>
    </dxf>
    <dxf>
      <fill>
        <patternFill patternType="solid">
          <fgColor indexed="64"/>
          <bgColor rgb="FF8CB6A9"/>
        </patternFill>
      </fill>
    </dxf>
    <dxf>
      <fill>
        <patternFill patternType="solid">
          <fgColor indexed="64"/>
          <bgColor rgb="FF8CB6A9"/>
        </patternFill>
      </fill>
    </dxf>
    <dxf>
      <fill>
        <patternFill patternType="solid">
          <fgColor indexed="64"/>
          <bgColor rgb="FF8CB6A9"/>
        </patternFill>
      </fill>
    </dxf>
    <dxf>
      <fill>
        <patternFill patternType="solid">
          <fgColor indexed="64"/>
          <bgColor rgb="FF8CB6A9"/>
        </patternFill>
      </fill>
    </dxf>
    <dxf>
      <fill>
        <patternFill patternType="solid">
          <fgColor indexed="64"/>
          <bgColor rgb="FF8CB6A9"/>
        </patternFill>
      </fill>
    </dxf>
    <dxf>
      <fill>
        <patternFill patternType="solid">
          <fgColor indexed="64"/>
          <bgColor rgb="FF8CB6A9"/>
        </patternFill>
      </fill>
    </dxf>
    <dxf>
      <fill>
        <patternFill patternType="solid">
          <fgColor indexed="64"/>
          <bgColor rgb="FF8CB6A9"/>
        </patternFill>
      </fill>
    </dxf>
    <dxf>
      <fill>
        <patternFill patternType="solid">
          <fgColor indexed="64"/>
          <bgColor rgb="FF8CB6A9"/>
        </patternFill>
      </fill>
    </dxf>
    <dxf>
      <fill>
        <patternFill patternType="solid">
          <fgColor indexed="64"/>
          <bgColor rgb="FF8CB6A9"/>
        </patternFill>
      </fill>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rgb="FF8CB6A9"/>
        </patternFill>
      </fill>
    </dxf>
    <dxf>
      <fill>
        <patternFill patternType="solid">
          <bgColor rgb="FF8CB6A9"/>
        </patternFill>
      </fill>
    </dxf>
    <dxf>
      <fill>
        <patternFill patternType="solid">
          <bgColor rgb="FF8CB6A9"/>
        </patternFill>
      </fill>
    </dxf>
    <dxf>
      <fill>
        <patternFill patternType="solid">
          <bgColor rgb="FF8CB6A9"/>
        </patternFill>
      </fill>
    </dxf>
    <dxf>
      <fill>
        <patternFill patternType="solid">
          <bgColor rgb="FF8CB6A9"/>
        </patternFill>
      </fill>
    </dxf>
    <dxf>
      <fill>
        <patternFill patternType="solid">
          <bgColor rgb="FF8CB6A9"/>
        </patternFill>
      </fill>
    </dxf>
    <dxf>
      <fill>
        <patternFill patternType="solid">
          <bgColor rgb="FF8CB6A9"/>
        </patternFill>
      </fill>
    </dxf>
    <dxf>
      <fill>
        <patternFill patternType="solid">
          <bgColor rgb="FF8CB6A9"/>
        </patternFill>
      </fill>
    </dxf>
    <dxf>
      <fill>
        <patternFill patternType="solid">
          <bgColor rgb="FF8CB6A9"/>
        </patternFill>
      </fill>
    </dxf>
    <dxf>
      <fill>
        <patternFill patternType="solid">
          <bgColor rgb="FF8CB6A9"/>
        </patternFill>
      </fill>
    </dxf>
    <dxf>
      <alignment wrapText="1"/>
    </dxf>
  </dxfs>
  <tableStyles count="2" defaultTableStyle="TableStyleMedium2" defaultPivotStyle="PivotStyleLight16">
    <tableStyle name="Slicer Style 1" pivot="0" table="0" count="1" xr9:uid="{4BB58505-A0C1-4CF5-8DDC-7C920F359776}"/>
    <tableStyle name="Slicer Style 2" pivot="0" table="0" count="4" xr9:uid="{DF5940E6-81CB-4DDE-8CC2-FDC344330C4D}">
      <tableStyleElement type="wholeTable" dxfId="1"/>
      <tableStyleElement type="headerRow" dxfId="0"/>
    </tableStyle>
  </tableStyles>
  <colors>
    <mruColors>
      <color rgb="FF008080"/>
      <color rgb="FFF2FAED"/>
      <color rgb="FF498F8D"/>
      <color rgb="FF8CB6A9"/>
      <color rgb="FFA5D6C7"/>
      <color rgb="FFFFF8E5"/>
      <color rgb="FFEB9FAA"/>
      <color rgb="FFD4E6FA"/>
      <color rgb="FFD9F6FA"/>
      <color rgb="FFF7F5F5"/>
    </mruColors>
  </colors>
  <extLst>
    <ext xmlns:x14="http://schemas.microsoft.com/office/spreadsheetml/2009/9/main" uri="{46F421CA-312F-682f-3DD2-61675219B42D}">
      <x14:dxfs count="24">
        <dxf>
          <font>
            <b/>
            <i val="0"/>
            <sz val="14"/>
            <color theme="0"/>
          </font>
          <fill>
            <patternFill>
              <fgColor rgb="FF008080"/>
              <bgColor rgb="FF008080"/>
            </patternFill>
          </fill>
          <border diagonalUp="0" diagonalDown="0">
            <left style="hair">
              <color theme="0"/>
            </left>
            <right style="hair">
              <color theme="0"/>
            </right>
            <top style="hair">
              <color theme="0"/>
            </top>
            <bottom style="hair">
              <color theme="0"/>
            </bottom>
            <vertical/>
            <horizontal style="hair">
              <color theme="0"/>
            </horizontal>
          </border>
        </dxf>
        <dxf>
          <font>
            <sz val="12"/>
            <color theme="0"/>
          </font>
        </dxf>
        <dxf>
          <font>
            <b/>
            <i val="0"/>
            <sz val="14"/>
            <color theme="0"/>
          </font>
          <fill>
            <patternFill>
              <fgColor rgb="FF008080"/>
              <bgColor rgb="FF008080"/>
            </patternFill>
          </fill>
          <border diagonalUp="0" diagonalDown="0">
            <left style="hair">
              <color theme="0"/>
            </left>
            <right style="hair">
              <color theme="0"/>
            </right>
            <top style="hair">
              <color theme="0"/>
            </top>
            <bottom style="hair">
              <color theme="0"/>
            </bottom>
            <vertical/>
            <horizontal style="hair">
              <color theme="0"/>
            </horizontal>
          </border>
        </dxf>
        <dxf>
          <font>
            <sz val="12"/>
            <color theme="0"/>
          </font>
        </dxf>
        <dxf>
          <font>
            <sz val="12"/>
            <color theme="0"/>
          </font>
        </dxf>
        <dxf>
          <font>
            <b/>
            <i val="0"/>
            <sz val="14"/>
            <color theme="0"/>
          </font>
          <fill>
            <patternFill>
              <fgColor rgb="FF008080"/>
              <bgColor rgb="FF008080"/>
            </patternFill>
          </fill>
          <border diagonalUp="0" diagonalDown="0">
            <left style="thin">
              <color auto="1"/>
            </left>
            <right style="thin">
              <color auto="1"/>
            </right>
            <top style="thin">
              <color auto="1"/>
            </top>
            <bottom style="thin">
              <color auto="1"/>
            </bottom>
            <vertical/>
            <horizontal/>
          </border>
        </dxf>
        <dxf>
          <font>
            <b/>
            <i val="0"/>
            <sz val="14"/>
            <color theme="0"/>
          </font>
          <fill>
            <patternFill>
              <fgColor rgb="FF008080"/>
              <bgColor rgb="FF008080"/>
            </patternFill>
          </fill>
          <border diagonalUp="0" diagonalDown="0">
            <left style="thin">
              <color auto="1"/>
            </left>
            <right style="thin">
              <color auto="1"/>
            </right>
            <top style="thin">
              <color auto="1"/>
            </top>
            <bottom style="thin">
              <color auto="1"/>
            </bottom>
            <vertical/>
            <horizontal/>
          </border>
        </dxf>
        <dxf>
          <font>
            <b/>
            <i val="0"/>
            <sz val="14"/>
            <color theme="0"/>
          </font>
          <fill>
            <patternFill>
              <fgColor rgb="FF008080"/>
              <bgColor rgb="FF008080"/>
            </patternFill>
          </fill>
          <border diagonalUp="0" diagonalDown="0">
            <left style="thin">
              <color auto="1"/>
            </left>
            <right style="thin">
              <color auto="1"/>
            </right>
            <top style="thin">
              <color auto="1"/>
            </top>
            <bottom style="thin">
              <color auto="1"/>
            </bottom>
            <vertical/>
            <horizontal/>
          </border>
        </dxf>
        <dxf>
          <font>
            <b/>
            <i val="0"/>
            <sz val="14"/>
            <color theme="0"/>
          </font>
          <fill>
            <patternFill>
              <fgColor rgb="FF008080"/>
              <bgColor rgb="FF008080"/>
            </patternFill>
          </fill>
          <border diagonalUp="0" diagonalDown="0">
            <left style="thin">
              <color auto="1"/>
            </left>
            <right style="thin">
              <color auto="1"/>
            </right>
            <top style="thin">
              <color auto="1"/>
            </top>
            <bottom style="thin">
              <color auto="1"/>
            </bottom>
            <vertical/>
            <horizontal/>
          </border>
        </dxf>
        <dxf>
          <font>
            <b/>
            <i val="0"/>
            <sz val="14"/>
            <color theme="0"/>
          </font>
          <fill>
            <patternFill>
              <fgColor rgb="FF008080"/>
              <bgColor rgb="FF008080"/>
            </patternFill>
          </fill>
          <border diagonalUp="0" diagonalDown="0">
            <left style="thin">
              <color auto="1"/>
            </left>
            <right style="thin">
              <color auto="1"/>
            </right>
            <top style="thin">
              <color auto="1"/>
            </top>
            <bottom style="thin">
              <color auto="1"/>
            </bottom>
            <vertical/>
            <horizontal/>
          </border>
        </dxf>
        <dxf>
          <font>
            <b/>
            <i val="0"/>
            <sz val="12"/>
            <color theme="0"/>
          </font>
          <fill>
            <patternFill>
              <fgColor rgb="FF008080"/>
              <bgColor rgb="FF008080"/>
            </patternFill>
          </fill>
          <border diagonalUp="0" diagonalDown="0">
            <left/>
            <right/>
            <top/>
            <bottom/>
            <vertical/>
            <horizontal/>
          </border>
        </dxf>
        <dxf>
          <font>
            <b/>
            <i val="0"/>
            <sz val="12"/>
            <color theme="0"/>
          </font>
          <fill>
            <patternFill>
              <fgColor rgb="FF008080"/>
              <bgColor rgb="FF008080"/>
            </patternFill>
          </fill>
          <border diagonalUp="0" diagonalDown="0">
            <left/>
            <right/>
            <top/>
            <bottom/>
            <vertical/>
            <horizontal/>
          </border>
        </dxf>
        <dxf>
          <font>
            <b/>
            <i val="0"/>
            <sz val="12"/>
            <color theme="0"/>
          </font>
          <fill>
            <patternFill>
              <fgColor rgb="FF008080"/>
              <bgColor rgb="FF008080"/>
            </patternFill>
          </fill>
          <border diagonalUp="0" diagonalDown="0">
            <left/>
            <right/>
            <top/>
            <bottom/>
            <vertical/>
            <horizontal/>
          </border>
        </dxf>
        <dxf>
          <font>
            <b/>
            <i val="0"/>
            <sz val="12"/>
            <color theme="0"/>
          </font>
          <fill>
            <patternFill>
              <fgColor rgb="FF008080"/>
              <bgColor rgb="FF008080"/>
            </patternFill>
          </fill>
          <border diagonalUp="0" diagonalDown="0">
            <left/>
            <right/>
            <top/>
            <bottom/>
            <vertical/>
            <horizontal/>
          </border>
        </dxf>
        <dxf>
          <font>
            <sz val="12"/>
            <color rgb="FF498F8D"/>
          </font>
          <fill>
            <patternFill>
              <fgColor rgb="FF008080"/>
              <bgColor rgb="FF008080"/>
            </patternFill>
          </fill>
          <border diagonalUp="0" diagonalDown="0">
            <left/>
            <right/>
            <top/>
            <bottom/>
            <vertical/>
            <horizontal/>
          </border>
        </dxf>
        <dxf>
          <font>
            <sz val="12"/>
            <color rgb="FF498F8D"/>
          </font>
          <fill>
            <patternFill>
              <fgColor rgb="FF008080"/>
              <bgColor rgb="FF008080"/>
            </patternFill>
          </fill>
          <border diagonalUp="0" diagonalDown="0">
            <left/>
            <right/>
            <top/>
            <bottom/>
            <vertical/>
            <horizontal/>
          </border>
        </dxf>
        <dxf>
          <font>
            <sz val="12"/>
            <color rgb="FF498F8D"/>
          </font>
          <fill>
            <patternFill>
              <fgColor rgb="FF008080"/>
              <bgColor rgb="FF008080"/>
            </patternFill>
          </fill>
          <border diagonalUp="0" diagonalDown="0">
            <left/>
            <right/>
            <top/>
            <bottom/>
            <vertical/>
            <horizontal/>
          </border>
        </dxf>
        <dxf>
          <font>
            <sz val="11"/>
            <color rgb="FF498F8D"/>
          </font>
        </dxf>
        <dxf>
          <font>
            <sz val="11"/>
            <color rgb="FF498F8D"/>
          </font>
        </dxf>
        <dxf>
          <font>
            <sz val="11"/>
            <color rgb="FF498F8D"/>
          </font>
        </dxf>
        <dxf>
          <font>
            <sz val="11"/>
            <color rgb="FF498F8D"/>
          </font>
        </dxf>
        <dxf>
          <font>
            <sz val="11"/>
            <color rgb="FF498F8D"/>
          </font>
        </dxf>
        <dxf>
          <font>
            <sz val="11"/>
            <color rgb="FF498F8D"/>
          </font>
        </dxf>
        <dxf>
          <font>
            <b/>
            <i val="0"/>
            <sz val="12"/>
            <color rgb="FF498F8D"/>
          </font>
        </dxf>
      </x14:dxfs>
    </ext>
    <ext xmlns:x14="http://schemas.microsoft.com/office/spreadsheetml/2009/9/main" uri="{EB79DEF2-80B8-43e5-95BD-54CBDDF9020C}">
      <x14:slicerStyles defaultSlicerStyle="Slicer Style 2">
        <x14:slicerStyle name="Slicer Style 1">
          <x14:slicerStyleElements>
            <x14:slicerStyleElement type="selectedItemWithData" dxfId="23"/>
          </x14:slicerStyleElements>
        </x14:slicerStyle>
        <x14:slicerStyle name="Slicer Style 2">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5.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microsoft.com/office/2007/relationships/slicerCache" Target="slicerCaches/slicerCache8.xml"/><Relationship Id="rId47" Type="http://schemas.microsoft.com/office/2011/relationships/timelineCache" Target="timelineCaches/timelineCache1.xml"/><Relationship Id="rId50" Type="http://schemas.openxmlformats.org/officeDocument/2006/relationships/sharedStrings" Target="sharedStrings.xml"/><Relationship Id="rId55"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3.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3.xml"/><Relationship Id="rId40" Type="http://schemas.microsoft.com/office/2007/relationships/slicerCache" Target="slicerCaches/slicerCache6.xml"/><Relationship Id="rId45" Type="http://schemas.microsoft.com/office/2007/relationships/slicerCache" Target="slicerCaches/slicerCache11.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microsoft.com/office/2007/relationships/slicerCache" Target="slicerCaches/slicerCache10.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microsoft.com/office/2007/relationships/slicerCache" Target="slicerCaches/slicerCache1.xml"/><Relationship Id="rId43" Type="http://schemas.microsoft.com/office/2007/relationships/slicerCache" Target="slicerCaches/slicerCache9.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microsoft.com/office/2017/10/relationships/person" Target="persons/pers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4.xml"/><Relationship Id="rId46" Type="http://schemas.microsoft.com/office/2007/relationships/slicerCache" Target="slicerCaches/slicerCache12.xml"/><Relationship Id="rId20" Type="http://schemas.openxmlformats.org/officeDocument/2006/relationships/worksheet" Target="worksheets/sheet20.xml"/><Relationship Id="rId41" Type="http://schemas.microsoft.com/office/2007/relationships/slicerCache" Target="slicerCaches/slicerCache7.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microsoft.com/office/2007/relationships/slicerCache" Target="slicerCaches/slicerCache2.xml"/><Relationship Id="rId4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5.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0.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[Tender master data _dashboard (1) (1).xlsm]Sheet4!PivotTable1</c:name>
    <c:fmtId val="7"/>
  </c:pivotSource>
  <c:chart>
    <c:title>
      <c:tx>
        <c:rich>
          <a:bodyPr rot="0" spcFirstLastPara="1" vertOverflow="ellipsis" vert="horz" wrap="square" anchor="ctr" anchorCtr="1"/>
          <a:lstStyle/>
          <a:p>
            <a:pPr>
              <a:defRPr sz="1600" b="1" i="0" u="none" strike="noStrike" kern="1200" baseline="0">
                <a:solidFill>
                  <a:schemeClr val="dk1">
                    <a:lumMod val="65000"/>
                    <a:lumOff val="35000"/>
                  </a:schemeClr>
                </a:solidFill>
                <a:latin typeface="+mn-lt"/>
                <a:ea typeface="+mn-ea"/>
                <a:cs typeface="+mn-cs"/>
              </a:defRPr>
            </a:pPr>
            <a:r>
              <a:rPr lang="en-US" sz="1600"/>
              <a:t> Division of Tenders on basis of Current</a:t>
            </a:r>
            <a:r>
              <a:rPr lang="en-US" sz="1600" baseline="0"/>
              <a:t> Status</a:t>
            </a:r>
            <a:endParaRPr lang="en-US" sz="1600"/>
          </a:p>
        </c:rich>
      </c:tx>
      <c:layout>
        <c:manualLayout>
          <c:xMode val="edge"/>
          <c:yMode val="edge"/>
          <c:x val="9.2206816571494585E-2"/>
          <c:y val="1.8742094517205321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pPr>
            <a:solidFill>
              <a:schemeClr val="accent1"/>
            </a:solidFill>
            <a:ln w="9525">
              <a:solidFill>
                <a:schemeClr val="lt1"/>
              </a:solidFill>
            </a:ln>
            <a:effectLst/>
          </c:spPr>
        </c:marker>
        <c:dLbl>
          <c:idx val="0"/>
          <c:dLblPos val="inEnd"/>
          <c:showLegendKey val="0"/>
          <c:showVal val="1"/>
          <c:showCatName val="0"/>
          <c:showSerName val="0"/>
          <c:showPercent val="1"/>
          <c:showBubbleSize val="0"/>
          <c:extLst>
            <c:ext xmlns:c15="http://schemas.microsoft.com/office/drawing/2012/chart" uri="{CE6537A1-D6FC-4f65-9D91-7224C49458BB}"/>
          </c:extLst>
        </c:dLbl>
      </c:pivotFmt>
      <c:pivotFmt>
        <c:idx val="1"/>
        <c:dLbl>
          <c:idx val="0"/>
          <c:layout>
            <c:manualLayout>
              <c:x val="0.14843659430908607"/>
              <c:y val="-0.1169595806947552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4"/>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Sheet4!$B$3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07A3-4E84-B047-CB77A2FB2D47}"/>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07A3-4E84-B047-CB77A2FB2D47}"/>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07A3-4E84-B047-CB77A2FB2D47}"/>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07A3-4E84-B047-CB77A2FB2D47}"/>
              </c:ext>
            </c:extLst>
          </c:dPt>
          <c:dLbls>
            <c:dLbl>
              <c:idx val="0"/>
              <c:dLblPos val="in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7A3-4E84-B047-CB77A2FB2D47}"/>
                </c:ext>
              </c:extLst>
            </c:dLbl>
            <c:dLbl>
              <c:idx val="1"/>
              <c:dLblPos val="in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7A3-4E84-B047-CB77A2FB2D47}"/>
                </c:ext>
              </c:extLst>
            </c:dLbl>
            <c:dLbl>
              <c:idx val="2"/>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6="http://schemas.microsoft.com/office/drawing/2014/chart" uri="{C3380CC4-5D6E-409C-BE32-E72D297353CC}">
                  <c16:uniqueId val="{00000005-07A3-4E84-B047-CB77A2FB2D47}"/>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Sheet4!$A$4:$A$7</c:f>
              <c:strCache>
                <c:ptCount val="3"/>
                <c:pt idx="0">
                  <c:v>Active</c:v>
                </c:pt>
                <c:pt idx="1">
                  <c:v>Filed but cancelled by tenderer</c:v>
                </c:pt>
                <c:pt idx="2">
                  <c:v>Inactive</c:v>
                </c:pt>
              </c:strCache>
            </c:strRef>
          </c:cat>
          <c:val>
            <c:numRef>
              <c:f>Sheet4!$B$4:$B$7</c:f>
              <c:numCache>
                <c:formatCode>General</c:formatCode>
                <c:ptCount val="3"/>
                <c:pt idx="0">
                  <c:v>1</c:v>
                </c:pt>
                <c:pt idx="1">
                  <c:v>1</c:v>
                </c:pt>
                <c:pt idx="2">
                  <c:v>42</c:v>
                </c:pt>
              </c:numCache>
            </c:numRef>
          </c:val>
          <c:extLst>
            <c:ext xmlns:c16="http://schemas.microsoft.com/office/drawing/2014/chart" uri="{C3380CC4-5D6E-409C-BE32-E72D297353CC}">
              <c16:uniqueId val="{00000008-07A3-4E84-B047-CB77A2FB2D47}"/>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69869584713319377"/>
          <c:y val="0.34701345141432294"/>
          <c:w val="0.26160182221065836"/>
          <c:h val="0.53537338775468823"/>
        </c:manualLayout>
      </c:layout>
      <c:overlay val="0"/>
      <c:spPr>
        <a:noFill/>
        <a:ln>
          <a:noFill/>
        </a:ln>
        <a:effectLst/>
      </c:spPr>
      <c:txPr>
        <a:bodyPr rot="0" spcFirstLastPara="1" vertOverflow="ellipsis" vert="horz" wrap="square" anchor="t" anchorCtr="0"/>
        <a:lstStyle/>
        <a:p>
          <a:pPr>
            <a:defRPr sz="900" b="0" i="0" u="none" strike="noStrike" kern="1200" baseline="0">
              <a:ln>
                <a:noFill/>
              </a:ln>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[Tender master data _dashboard (1) (1).xlsm]Sheet4!PivotTable2</c:name>
    <c:fmtId val="5"/>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IN"/>
              <a:t>Leads Source - %wise bifurcation</a:t>
            </a:r>
          </a:p>
          <a:p>
            <a:pPr>
              <a:defRPr/>
            </a:pPr>
            <a:r>
              <a:rPr lang="en-IN"/>
              <a:t>(Till Date)</a:t>
            </a:r>
          </a:p>
        </c:rich>
      </c:tx>
      <c:layout>
        <c:manualLayout>
          <c:xMode val="edge"/>
          <c:yMode val="edge"/>
          <c:x val="1.549690996445496E-2"/>
          <c:y val="1.7538580246913581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2"/>
          </a:solidFill>
          <a:ln>
            <a:noFill/>
          </a:ln>
          <a:effectLst>
            <a:outerShdw blurRad="317500" algn="ctr" rotWithShape="0">
              <a:prstClr val="black">
                <a:alpha val="25000"/>
              </a:prstClr>
            </a:outerShdw>
          </a:effectLst>
        </c:spPr>
      </c:pivotFmt>
      <c:pivotFmt>
        <c:idx val="3"/>
        <c:spPr>
          <a:solidFill>
            <a:schemeClr val="accent2"/>
          </a:solidFill>
          <a:ln>
            <a:noFill/>
          </a:ln>
          <a:effectLst>
            <a:outerShdw blurRad="317500" algn="ctr" rotWithShape="0">
              <a:prstClr val="black">
                <a:alpha val="25000"/>
              </a:prstClr>
            </a:outerShdw>
          </a:effectLst>
        </c:spPr>
      </c:pivotFmt>
      <c:pivotFmt>
        <c:idx val="4"/>
        <c:spPr>
          <a:solidFill>
            <a:schemeClr val="accent2"/>
          </a:solidFill>
          <a:ln>
            <a:noFill/>
          </a:ln>
          <a:effectLst>
            <a:outerShdw blurRad="317500" algn="ctr" rotWithShape="0">
              <a:prstClr val="black">
                <a:alpha val="25000"/>
              </a:prstClr>
            </a:outerShdw>
          </a:effectLst>
        </c:spPr>
      </c:pivotFmt>
      <c:pivotFmt>
        <c:idx val="5"/>
        <c:spPr>
          <a:solidFill>
            <a:schemeClr val="accent2"/>
          </a:solidFill>
          <a:ln>
            <a:noFill/>
          </a:ln>
          <a:effectLst>
            <a:outerShdw blurRad="317500" algn="ctr" rotWithShape="0">
              <a:prstClr val="black">
                <a:alpha val="25000"/>
              </a:prstClr>
            </a:outerShdw>
          </a:effectLst>
        </c:spPr>
      </c:pivotFmt>
      <c:pivotFmt>
        <c:idx val="6"/>
        <c:spPr>
          <a:solidFill>
            <a:schemeClr val="accent2"/>
          </a:solidFill>
          <a:ln>
            <a:noFill/>
          </a:ln>
          <a:effectLst>
            <a:outerShdw blurRad="317500" algn="ctr" rotWithShape="0">
              <a:prstClr val="black">
                <a:alpha val="25000"/>
              </a:prstClr>
            </a:outerShdw>
          </a:effectLst>
        </c:spPr>
      </c:pivotFmt>
      <c:pivotFmt>
        <c:idx val="7"/>
        <c:spPr>
          <a:solidFill>
            <a:schemeClr val="accent2"/>
          </a:solidFill>
          <a:ln>
            <a:noFill/>
          </a:ln>
          <a:effectLst>
            <a:outerShdw blurRad="317500" algn="ctr" rotWithShape="0">
              <a:prstClr val="black">
                <a:alpha val="25000"/>
              </a:prstClr>
            </a:outerShdw>
          </a:effectLst>
        </c:spPr>
      </c:pivotFmt>
      <c:pivotFmt>
        <c:idx val="8"/>
        <c:spPr>
          <a:solidFill>
            <a:schemeClr val="accent2"/>
          </a:solidFill>
          <a:ln>
            <a:noFill/>
          </a:ln>
          <a:effectLst>
            <a:outerShdw blurRad="317500" algn="ctr" rotWithShape="0">
              <a:prstClr val="black">
                <a:alpha val="25000"/>
              </a:prstClr>
            </a:outerShdw>
          </a:effectLst>
        </c:spPr>
      </c:pivotFmt>
      <c:pivotFmt>
        <c:idx val="9"/>
        <c:spPr>
          <a:solidFill>
            <a:schemeClr val="accent2"/>
          </a:solidFill>
          <a:ln>
            <a:noFill/>
          </a:ln>
          <a:effectLst>
            <a:outerShdw blurRad="317500" algn="ctr" rotWithShape="0">
              <a:prstClr val="black">
                <a:alpha val="25000"/>
              </a:prstClr>
            </a:outerShdw>
          </a:effectLst>
        </c:spPr>
      </c:pivotFmt>
      <c:pivotFmt>
        <c:idx val="10"/>
        <c:spPr>
          <a:solidFill>
            <a:schemeClr val="accent2"/>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2"/>
          </a:solidFill>
          <a:ln>
            <a:noFill/>
          </a:ln>
          <a:effectLst>
            <a:outerShdw blurRad="317500" algn="ctr" rotWithShape="0">
              <a:prstClr val="black">
                <a:alpha val="25000"/>
              </a:prstClr>
            </a:outerShdw>
          </a:effectLst>
        </c:spPr>
      </c:pivotFmt>
      <c:pivotFmt>
        <c:idx val="12"/>
        <c:spPr>
          <a:solidFill>
            <a:schemeClr val="accent2"/>
          </a:solidFill>
          <a:ln>
            <a:noFill/>
          </a:ln>
          <a:effectLst>
            <a:outerShdw blurRad="317500" algn="ctr" rotWithShape="0">
              <a:prstClr val="black">
                <a:alpha val="25000"/>
              </a:prstClr>
            </a:outerShdw>
          </a:effectLst>
        </c:spPr>
      </c:pivotFmt>
      <c:pivotFmt>
        <c:idx val="13"/>
        <c:spPr>
          <a:solidFill>
            <a:schemeClr val="accent2"/>
          </a:solidFill>
          <a:ln>
            <a:noFill/>
          </a:ln>
          <a:effectLst>
            <a:outerShdw blurRad="317500" algn="ctr" rotWithShape="0">
              <a:prstClr val="black">
                <a:alpha val="25000"/>
              </a:prstClr>
            </a:outerShdw>
          </a:effectLst>
        </c:spPr>
      </c:pivotFmt>
      <c:pivotFmt>
        <c:idx val="14"/>
        <c:spPr>
          <a:solidFill>
            <a:schemeClr val="accent2"/>
          </a:solidFill>
          <a:ln>
            <a:noFill/>
          </a:ln>
          <a:effectLst>
            <a:outerShdw blurRad="317500" algn="ctr" rotWithShape="0">
              <a:prstClr val="black">
                <a:alpha val="25000"/>
              </a:prstClr>
            </a:outerShdw>
          </a:effectLst>
        </c:spPr>
      </c:pivotFmt>
      <c:pivotFmt>
        <c:idx val="15"/>
        <c:spPr>
          <a:solidFill>
            <a:schemeClr val="accent2"/>
          </a:solidFill>
          <a:ln>
            <a:noFill/>
          </a:ln>
          <a:effectLst>
            <a:outerShdw blurRad="317500" algn="ctr" rotWithShape="0">
              <a:prstClr val="black">
                <a:alpha val="25000"/>
              </a:prstClr>
            </a:outerShdw>
          </a:effectLst>
        </c:spPr>
      </c:pivotFmt>
      <c:pivotFmt>
        <c:idx val="16"/>
        <c:spPr>
          <a:solidFill>
            <a:schemeClr val="accent2"/>
          </a:solidFill>
          <a:ln>
            <a:noFill/>
          </a:ln>
          <a:effectLst>
            <a:outerShdw blurRad="317500" algn="ctr" rotWithShape="0">
              <a:prstClr val="black">
                <a:alpha val="25000"/>
              </a:prstClr>
            </a:outerShdw>
          </a:effectLst>
        </c:spPr>
      </c:pivotFmt>
      <c:pivotFmt>
        <c:idx val="17"/>
        <c:spPr>
          <a:solidFill>
            <a:schemeClr val="accent2"/>
          </a:solidFill>
          <a:ln>
            <a:noFill/>
          </a:ln>
          <a:effectLst>
            <a:outerShdw blurRad="317500" algn="ctr" rotWithShape="0">
              <a:prstClr val="black">
                <a:alpha val="25000"/>
              </a:prstClr>
            </a:outerShdw>
          </a:effectLst>
        </c:spPr>
      </c:pivotFmt>
      <c:pivotFmt>
        <c:idx val="18"/>
        <c:spPr>
          <a:solidFill>
            <a:schemeClr val="accent2"/>
          </a:solidFill>
          <a:ln>
            <a:noFill/>
          </a:ln>
          <a:effectLst>
            <a:outerShdw blurRad="317500" algn="ctr" rotWithShape="0">
              <a:prstClr val="black">
                <a:alpha val="25000"/>
              </a:prstClr>
            </a:outerShdw>
          </a:effectLst>
        </c:spPr>
        <c:dLbl>
          <c:idx val="0"/>
          <c:layout>
            <c:manualLayout>
              <c:x val="0.12579319949600523"/>
              <c:y val="-7.425092592592606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2"/>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2"/>
          </a:solidFill>
          <a:ln>
            <a:noFill/>
          </a:ln>
          <a:effectLst>
            <a:outerShdw blurRad="317500" algn="ctr" rotWithShape="0">
              <a:prstClr val="black">
                <a:alpha val="25000"/>
              </a:prstClr>
            </a:outerShdw>
          </a:effectLst>
        </c:spPr>
      </c:pivotFmt>
      <c:pivotFmt>
        <c:idx val="21"/>
        <c:spPr>
          <a:solidFill>
            <a:schemeClr val="accent2"/>
          </a:solidFill>
          <a:ln>
            <a:noFill/>
          </a:ln>
          <a:effectLst>
            <a:outerShdw blurRad="317500" algn="ctr" rotWithShape="0">
              <a:prstClr val="black">
                <a:alpha val="25000"/>
              </a:prstClr>
            </a:outerShdw>
          </a:effectLst>
        </c:spPr>
      </c:pivotFmt>
      <c:pivotFmt>
        <c:idx val="22"/>
        <c:spPr>
          <a:solidFill>
            <a:schemeClr val="accent2"/>
          </a:solidFill>
          <a:ln>
            <a:noFill/>
          </a:ln>
          <a:effectLst>
            <a:outerShdw blurRad="317500" algn="ctr" rotWithShape="0">
              <a:prstClr val="black">
                <a:alpha val="25000"/>
              </a:prstClr>
            </a:outerShdw>
          </a:effectLst>
        </c:spPr>
      </c:pivotFmt>
      <c:pivotFmt>
        <c:idx val="23"/>
        <c:spPr>
          <a:solidFill>
            <a:schemeClr val="accent2"/>
          </a:solidFill>
          <a:ln>
            <a:noFill/>
          </a:ln>
          <a:effectLst>
            <a:outerShdw blurRad="317500" algn="ctr" rotWithShape="0">
              <a:prstClr val="black">
                <a:alpha val="25000"/>
              </a:prstClr>
            </a:outerShdw>
          </a:effectLst>
        </c:spPr>
      </c:pivotFmt>
      <c:pivotFmt>
        <c:idx val="24"/>
        <c:spPr>
          <a:solidFill>
            <a:schemeClr val="accent2"/>
          </a:solidFill>
          <a:ln>
            <a:noFill/>
          </a:ln>
          <a:effectLst>
            <a:outerShdw blurRad="317500" algn="ctr" rotWithShape="0">
              <a:prstClr val="black">
                <a:alpha val="25000"/>
              </a:prstClr>
            </a:outerShdw>
          </a:effectLst>
        </c:spPr>
      </c:pivotFmt>
      <c:pivotFmt>
        <c:idx val="25"/>
        <c:spPr>
          <a:solidFill>
            <a:schemeClr val="accent2"/>
          </a:solidFill>
          <a:ln>
            <a:noFill/>
          </a:ln>
          <a:effectLst>
            <a:outerShdw blurRad="317500" algn="ctr" rotWithShape="0">
              <a:prstClr val="black">
                <a:alpha val="25000"/>
              </a:prstClr>
            </a:outerShdw>
          </a:effectLst>
        </c:spPr>
      </c:pivotFmt>
      <c:pivotFmt>
        <c:idx val="26"/>
        <c:spPr>
          <a:solidFill>
            <a:schemeClr val="accent2"/>
          </a:solidFill>
          <a:ln>
            <a:noFill/>
          </a:ln>
          <a:effectLst>
            <a:outerShdw blurRad="317500" algn="ctr" rotWithShape="0">
              <a:prstClr val="black">
                <a:alpha val="25000"/>
              </a:prstClr>
            </a:outerShdw>
          </a:effectLst>
        </c:spPr>
      </c:pivotFmt>
      <c:pivotFmt>
        <c:idx val="27"/>
        <c:spPr>
          <a:solidFill>
            <a:schemeClr val="accent2"/>
          </a:solidFill>
          <a:ln>
            <a:noFill/>
          </a:ln>
          <a:effectLst>
            <a:outerShdw blurRad="317500" algn="ctr" rotWithShape="0">
              <a:prstClr val="black">
                <a:alpha val="25000"/>
              </a:prstClr>
            </a:outerShdw>
          </a:effectLst>
        </c:spPr>
        <c:dLbl>
          <c:idx val="0"/>
          <c:layout>
            <c:manualLayout>
              <c:x val="0.12579319949600523"/>
              <c:y val="-7.425092592592606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0"/>
          <c:showSerName val="1"/>
          <c:showPercent val="1"/>
          <c:showBubbleSize val="0"/>
          <c:extLst>
            <c:ext xmlns:c15="http://schemas.microsoft.com/office/drawing/2012/chart" uri="{CE6537A1-D6FC-4f65-9D91-7224C49458BB}"/>
          </c:extLst>
        </c:dLbl>
      </c:pivotFmt>
      <c:pivotFmt>
        <c:idx val="28"/>
        <c:spPr>
          <a:solidFill>
            <a:schemeClr val="accent2"/>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9"/>
        <c:spPr>
          <a:solidFill>
            <a:schemeClr val="accent2"/>
          </a:solidFill>
          <a:ln>
            <a:noFill/>
          </a:ln>
          <a:effectLst>
            <a:outerShdw blurRad="317500" algn="ctr" rotWithShape="0">
              <a:prstClr val="black">
                <a:alpha val="25000"/>
              </a:prstClr>
            </a:outerShdw>
          </a:effectLst>
        </c:spPr>
      </c:pivotFmt>
      <c:pivotFmt>
        <c:idx val="30"/>
        <c:spPr>
          <a:solidFill>
            <a:schemeClr val="accent2"/>
          </a:solidFill>
          <a:ln>
            <a:noFill/>
          </a:ln>
          <a:effectLst>
            <a:outerShdw blurRad="317500" algn="ctr" rotWithShape="0">
              <a:prstClr val="black">
                <a:alpha val="25000"/>
              </a:prstClr>
            </a:outerShdw>
          </a:effectLst>
        </c:spPr>
      </c:pivotFmt>
      <c:pivotFmt>
        <c:idx val="31"/>
        <c:spPr>
          <a:solidFill>
            <a:schemeClr val="accent2"/>
          </a:solidFill>
          <a:ln>
            <a:noFill/>
          </a:ln>
          <a:effectLst>
            <a:outerShdw blurRad="317500" algn="ctr" rotWithShape="0">
              <a:prstClr val="black">
                <a:alpha val="25000"/>
              </a:prstClr>
            </a:outerShdw>
          </a:effectLst>
        </c:spPr>
      </c:pivotFmt>
      <c:pivotFmt>
        <c:idx val="32"/>
        <c:spPr>
          <a:solidFill>
            <a:schemeClr val="accent2"/>
          </a:solidFill>
          <a:ln>
            <a:noFill/>
          </a:ln>
          <a:effectLst>
            <a:outerShdw blurRad="317500" algn="ctr" rotWithShape="0">
              <a:prstClr val="black">
                <a:alpha val="25000"/>
              </a:prstClr>
            </a:outerShdw>
          </a:effectLst>
        </c:spPr>
      </c:pivotFmt>
      <c:pivotFmt>
        <c:idx val="33"/>
        <c:spPr>
          <a:solidFill>
            <a:schemeClr val="accent2"/>
          </a:solidFill>
          <a:ln>
            <a:noFill/>
          </a:ln>
          <a:effectLst>
            <a:outerShdw blurRad="317500" algn="ctr" rotWithShape="0">
              <a:prstClr val="black">
                <a:alpha val="25000"/>
              </a:prstClr>
            </a:outerShdw>
          </a:effectLst>
        </c:spPr>
      </c:pivotFmt>
      <c:pivotFmt>
        <c:idx val="34"/>
        <c:spPr>
          <a:solidFill>
            <a:schemeClr val="accent2"/>
          </a:solidFill>
          <a:ln>
            <a:noFill/>
          </a:ln>
          <a:effectLst>
            <a:outerShdw blurRad="317500" algn="ctr" rotWithShape="0">
              <a:prstClr val="black">
                <a:alpha val="25000"/>
              </a:prstClr>
            </a:outerShdw>
          </a:effectLst>
        </c:spPr>
      </c:pivotFmt>
      <c:pivotFmt>
        <c:idx val="35"/>
        <c:spPr>
          <a:solidFill>
            <a:schemeClr val="accent2"/>
          </a:solidFill>
          <a:ln>
            <a:noFill/>
          </a:ln>
          <a:effectLst>
            <a:outerShdw blurRad="317500" algn="ctr" rotWithShape="0">
              <a:prstClr val="black">
                <a:alpha val="25000"/>
              </a:prstClr>
            </a:outerShdw>
          </a:effectLst>
        </c:spPr>
      </c:pivotFmt>
      <c:pivotFmt>
        <c:idx val="36"/>
        <c:spPr>
          <a:solidFill>
            <a:schemeClr val="accent2"/>
          </a:solidFill>
          <a:ln>
            <a:noFill/>
          </a:ln>
          <a:effectLst>
            <a:outerShdw blurRad="317500" algn="ctr" rotWithShape="0">
              <a:prstClr val="black">
                <a:alpha val="25000"/>
              </a:prstClr>
            </a:outerShdw>
          </a:effectLst>
        </c:spPr>
        <c:dLbl>
          <c:idx val="0"/>
          <c:layout>
            <c:manualLayout>
              <c:x val="0.12579319949600523"/>
              <c:y val="-7.425092592592606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2"/>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2"/>
          </a:solidFill>
          <a:ln>
            <a:noFill/>
          </a:ln>
          <a:effectLst>
            <a:outerShdw blurRad="317500" algn="ctr" rotWithShape="0">
              <a:prstClr val="black">
                <a:alpha val="25000"/>
              </a:prstClr>
            </a:outerShdw>
          </a:effectLst>
        </c:spPr>
      </c:pivotFmt>
      <c:pivotFmt>
        <c:idx val="39"/>
        <c:spPr>
          <a:solidFill>
            <a:schemeClr val="accent2"/>
          </a:solidFill>
          <a:ln>
            <a:noFill/>
          </a:ln>
          <a:effectLst>
            <a:outerShdw blurRad="317500" algn="ctr" rotWithShape="0">
              <a:prstClr val="black">
                <a:alpha val="25000"/>
              </a:prstClr>
            </a:outerShdw>
          </a:effectLst>
        </c:spPr>
      </c:pivotFmt>
      <c:pivotFmt>
        <c:idx val="40"/>
        <c:spPr>
          <a:solidFill>
            <a:schemeClr val="accent2"/>
          </a:solidFill>
          <a:ln>
            <a:noFill/>
          </a:ln>
          <a:effectLst>
            <a:outerShdw blurRad="317500" algn="ctr" rotWithShape="0">
              <a:prstClr val="black">
                <a:alpha val="25000"/>
              </a:prstClr>
            </a:outerShdw>
          </a:effectLst>
        </c:spPr>
      </c:pivotFmt>
      <c:pivotFmt>
        <c:idx val="41"/>
        <c:spPr>
          <a:solidFill>
            <a:schemeClr val="accent2"/>
          </a:solidFill>
          <a:ln>
            <a:noFill/>
          </a:ln>
          <a:effectLst>
            <a:outerShdw blurRad="317500" algn="ctr" rotWithShape="0">
              <a:prstClr val="black">
                <a:alpha val="25000"/>
              </a:prstClr>
            </a:outerShdw>
          </a:effectLst>
        </c:spPr>
      </c:pivotFmt>
      <c:pivotFmt>
        <c:idx val="42"/>
        <c:spPr>
          <a:solidFill>
            <a:schemeClr val="accent2"/>
          </a:solidFill>
          <a:ln>
            <a:noFill/>
          </a:ln>
          <a:effectLst>
            <a:outerShdw blurRad="317500" algn="ctr" rotWithShape="0">
              <a:prstClr val="black">
                <a:alpha val="25000"/>
              </a:prstClr>
            </a:outerShdw>
          </a:effectLst>
        </c:spPr>
      </c:pivotFmt>
      <c:pivotFmt>
        <c:idx val="43"/>
        <c:spPr>
          <a:solidFill>
            <a:schemeClr val="accent2"/>
          </a:solidFill>
          <a:ln>
            <a:noFill/>
          </a:ln>
          <a:effectLst>
            <a:outerShdw blurRad="317500" algn="ctr" rotWithShape="0">
              <a:prstClr val="black">
                <a:alpha val="25000"/>
              </a:prstClr>
            </a:outerShdw>
          </a:effectLst>
        </c:spPr>
      </c:pivotFmt>
      <c:pivotFmt>
        <c:idx val="44"/>
        <c:spPr>
          <a:solidFill>
            <a:schemeClr val="accent2"/>
          </a:solidFill>
          <a:ln>
            <a:noFill/>
          </a:ln>
          <a:effectLst>
            <a:outerShdw blurRad="317500" algn="ctr" rotWithShape="0">
              <a:prstClr val="black">
                <a:alpha val="25000"/>
              </a:prstClr>
            </a:outerShdw>
          </a:effectLst>
        </c:spPr>
      </c:pivotFmt>
    </c:pivotFmts>
    <c:plotArea>
      <c:layout/>
      <c:pieChart>
        <c:varyColors val="1"/>
        <c:ser>
          <c:idx val="0"/>
          <c:order val="0"/>
          <c:tx>
            <c:strRef>
              <c:f>Sheet4!$B$21</c:f>
              <c:strCache>
                <c:ptCount val="1"/>
                <c:pt idx="0">
                  <c:v>Total</c:v>
                </c:pt>
              </c:strCache>
            </c:strRef>
          </c:tx>
          <c:dPt>
            <c:idx val="0"/>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3CD3-4C2C-853F-F47A3F857174}"/>
              </c:ext>
            </c:extLst>
          </c:dPt>
          <c:dPt>
            <c:idx val="1"/>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3CD3-4C2C-853F-F47A3F857174}"/>
              </c:ext>
            </c:extLst>
          </c:dPt>
          <c:dPt>
            <c:idx val="2"/>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3CD3-4C2C-853F-F47A3F857174}"/>
              </c:ext>
            </c:extLst>
          </c:dPt>
          <c:dPt>
            <c:idx val="3"/>
            <c:bubble3D val="0"/>
            <c:spPr>
              <a:solidFill>
                <a:schemeClr val="accent2">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3CD3-4C2C-853F-F47A3F857174}"/>
              </c:ext>
            </c:extLst>
          </c:dPt>
          <c:dPt>
            <c:idx val="4"/>
            <c:bubble3D val="0"/>
            <c:spPr>
              <a:solidFill>
                <a:schemeClr val="accent4">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3CD3-4C2C-853F-F47A3F857174}"/>
              </c:ext>
            </c:extLst>
          </c:dPt>
          <c:dPt>
            <c:idx val="5"/>
            <c:bubble3D val="0"/>
            <c:spPr>
              <a:solidFill>
                <a:schemeClr val="accent6">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3CD3-4C2C-853F-F47A3F857174}"/>
              </c:ext>
            </c:extLst>
          </c:dPt>
          <c:dPt>
            <c:idx val="6"/>
            <c:bubble3D val="0"/>
            <c:spPr>
              <a:solidFill>
                <a:schemeClr val="accent2">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3CD3-4C2C-853F-F47A3F85717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Sheet4!$A$22:$A$29</c:f>
              <c:strCache>
                <c:ptCount val="7"/>
                <c:pt idx="0">
                  <c:v>CPPP</c:v>
                </c:pt>
                <c:pt idx="1">
                  <c:v>eproc Punjab</c:v>
                </c:pt>
                <c:pt idx="2">
                  <c:v>GeM</c:v>
                </c:pt>
                <c:pt idx="3">
                  <c:v>HP 
Procurement
 Portal</c:v>
                </c:pt>
                <c:pt idx="4">
                  <c:v>MP Procurement Portal</c:v>
                </c:pt>
                <c:pt idx="5">
                  <c:v>Prashank's lead</c:v>
                </c:pt>
                <c:pt idx="6">
                  <c:v>Tender Tiger</c:v>
                </c:pt>
              </c:strCache>
            </c:strRef>
          </c:cat>
          <c:val>
            <c:numRef>
              <c:f>Sheet4!$B$22:$B$29</c:f>
              <c:numCache>
                <c:formatCode>General</c:formatCode>
                <c:ptCount val="7"/>
                <c:pt idx="0">
                  <c:v>1</c:v>
                </c:pt>
                <c:pt idx="1">
                  <c:v>1</c:v>
                </c:pt>
                <c:pt idx="2">
                  <c:v>1</c:v>
                </c:pt>
                <c:pt idx="3">
                  <c:v>1</c:v>
                </c:pt>
                <c:pt idx="4">
                  <c:v>2</c:v>
                </c:pt>
                <c:pt idx="5">
                  <c:v>1</c:v>
                </c:pt>
                <c:pt idx="6">
                  <c:v>26</c:v>
                </c:pt>
              </c:numCache>
            </c:numRef>
          </c:val>
          <c:extLst>
            <c:ext xmlns:c16="http://schemas.microsoft.com/office/drawing/2014/chart" uri="{C3380CC4-5D6E-409C-BE32-E72D297353CC}">
              <c16:uniqueId val="{00000011-0020-46E3-BDC4-86900585FC0A}"/>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tr"/>
      <c:layout>
        <c:manualLayout>
          <c:xMode val="edge"/>
          <c:yMode val="edge"/>
          <c:x val="0.74677790184391579"/>
          <c:y val="3.1878968253968257E-2"/>
          <c:w val="0.25322209815608404"/>
          <c:h val="0.9681210929910972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gradFill>
        <a:gsLst>
          <a:gs pos="0">
            <a:srgbClr val="F7F5F5"/>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[Tender master data _dashboard (1) (1).xlsm]Sheet7!PivotTable5</c:name>
    <c:fmtId val="4"/>
  </c:pivotSource>
  <c:chart>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a:t>Primary Reason for Disqualification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Sheet7!$B$3</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Sheet7!$A$4:$A$21</c:f>
              <c:strCache>
                <c:ptCount val="17"/>
                <c:pt idx="0">
                  <c:v>CMMI-3</c:v>
                </c:pt>
                <c:pt idx="1">
                  <c:v>Completion certificate required from client</c:v>
                </c:pt>
                <c:pt idx="2">
                  <c:v>Experience in AI/ML based Voicebot or Chatbot implementation</c:v>
                </c:pt>
                <c:pt idx="3">
                  <c:v>Experience in banking services Central / State Govt Organization / PSU / Public Listed Company</c:v>
                </c:pt>
                <c:pt idx="4">
                  <c:v>experience in providing BBPS  BHARAT BILL PAYMENT (BBPS) AND CREDIT
FACILITIES (BNPL) services</c:v>
                </c:pt>
                <c:pt idx="5">
                  <c:v>Experience in providing similar services to Universities</c:v>
                </c:pt>
                <c:pt idx="6">
                  <c:v>Experience in working for Central / State Govt Organization / PSU / Public Listed Company</c:v>
                </c:pt>
                <c:pt idx="7">
                  <c:v>Filed</c:v>
                </c:pt>
                <c:pt idx="8">
                  <c:v>Hardware installation required</c:v>
                </c:pt>
                <c:pt idx="9">
                  <c:v>Local office required</c:v>
                </c:pt>
                <c:pt idx="10">
                  <c:v>No response received for technical feasibility</c:v>
                </c:pt>
                <c:pt idx="11">
                  <c:v>No response received from management</c:v>
                </c:pt>
                <c:pt idx="12">
                  <c:v>Not empanelled under CERT -IN </c:v>
                </c:pt>
                <c:pt idx="13">
                  <c:v>Not experienced in Govt/PSU projects</c:v>
                </c:pt>
                <c:pt idx="14">
                  <c:v>Programmable logic controller</c:v>
                </c:pt>
                <c:pt idx="15">
                  <c:v>We do not work on PHP-Laravel technology</c:v>
                </c:pt>
                <c:pt idx="16">
                  <c:v>Web Intelligence tool procurement/intallation</c:v>
                </c:pt>
              </c:strCache>
            </c:strRef>
          </c:cat>
          <c:val>
            <c:numRef>
              <c:f>Sheet7!$B$4:$B$21</c:f>
              <c:numCache>
                <c:formatCode>General</c:formatCode>
                <c:ptCount val="17"/>
                <c:pt idx="0">
                  <c:v>6</c:v>
                </c:pt>
                <c:pt idx="1">
                  <c:v>4</c:v>
                </c:pt>
                <c:pt idx="2">
                  <c:v>1</c:v>
                </c:pt>
                <c:pt idx="3">
                  <c:v>1</c:v>
                </c:pt>
                <c:pt idx="4">
                  <c:v>1</c:v>
                </c:pt>
                <c:pt idx="5">
                  <c:v>1</c:v>
                </c:pt>
                <c:pt idx="6">
                  <c:v>11</c:v>
                </c:pt>
                <c:pt idx="7">
                  <c:v>1</c:v>
                </c:pt>
                <c:pt idx="8">
                  <c:v>2</c:v>
                </c:pt>
                <c:pt idx="9">
                  <c:v>3</c:v>
                </c:pt>
                <c:pt idx="10">
                  <c:v>1</c:v>
                </c:pt>
                <c:pt idx="11">
                  <c:v>4</c:v>
                </c:pt>
                <c:pt idx="12">
                  <c:v>1</c:v>
                </c:pt>
                <c:pt idx="13">
                  <c:v>2</c:v>
                </c:pt>
                <c:pt idx="14">
                  <c:v>1</c:v>
                </c:pt>
                <c:pt idx="15">
                  <c:v>1</c:v>
                </c:pt>
                <c:pt idx="16">
                  <c:v>1</c:v>
                </c:pt>
              </c:numCache>
            </c:numRef>
          </c:val>
          <c:extLst>
            <c:ext xmlns:c16="http://schemas.microsoft.com/office/drawing/2014/chart" uri="{C3380CC4-5D6E-409C-BE32-E72D297353CC}">
              <c16:uniqueId val="{00000000-5239-44BE-B6DF-CB7A63512C53}"/>
            </c:ext>
          </c:extLst>
        </c:ser>
        <c:dLbls>
          <c:dLblPos val="inEnd"/>
          <c:showLegendKey val="0"/>
          <c:showVal val="1"/>
          <c:showCatName val="0"/>
          <c:showSerName val="0"/>
          <c:showPercent val="0"/>
          <c:showBubbleSize val="0"/>
        </c:dLbls>
        <c:gapWidth val="115"/>
        <c:overlap val="-20"/>
        <c:axId val="1396586080"/>
        <c:axId val="1394221776"/>
      </c:barChart>
      <c:catAx>
        <c:axId val="1396586080"/>
        <c:scaling>
          <c:orientation val="minMax"/>
        </c:scaling>
        <c:delete val="0"/>
        <c:axPos val="l"/>
        <c:numFmt formatCode="General" sourceLinked="1"/>
        <c:majorTickMark val="none"/>
        <c:minorTickMark val="none"/>
        <c:tickLblPos val="nextTo"/>
        <c:spPr>
          <a:noFill/>
          <a:ln w="12700" cap="flat" cmpd="sng" algn="ctr">
            <a:noFill/>
            <a:round/>
          </a:ln>
          <a:effectLst/>
        </c:spPr>
        <c:txPr>
          <a:bodyPr rot="-60000000" spcFirstLastPara="1" vertOverflow="ellipsis" vert="horz" wrap="square" anchor="ctr"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1394221776"/>
        <c:crosses val="autoZero"/>
        <c:auto val="1"/>
        <c:lblAlgn val="ctr"/>
        <c:lblOffset val="100"/>
        <c:noMultiLvlLbl val="0"/>
      </c:catAx>
      <c:valAx>
        <c:axId val="13942217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65860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31000">
          <a:schemeClr val="accent3">
            <a:lumMod val="45000"/>
            <a:lumOff val="55000"/>
          </a:schemeClr>
        </a:gs>
        <a:gs pos="81000">
          <a:schemeClr val="accent3">
            <a:lumMod val="45000"/>
            <a:lumOff val="55000"/>
          </a:schemeClr>
        </a:gs>
        <a:gs pos="100000">
          <a:schemeClr val="accent3">
            <a:alpha val="79000"/>
            <a:lumMod val="60000"/>
            <a:lumOff val="40000"/>
          </a:schemeClr>
        </a:gs>
      </a:gsLst>
      <a:path path="rect">
        <a:fillToRect l="100000" t="100000"/>
      </a:path>
      <a:tileRect r="-100000" b="-100000"/>
    </a:gradFill>
    <a:ln w="9525" cap="flat" cmpd="sng" algn="ctr">
      <a:solidFill>
        <a:srgbClr val="F7F5F5"/>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[Tender master data _dashboard (1) (1).xlsm]Sheet4!PivotTable4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800" b="1" i="0" baseline="0">
                <a:effectLst/>
              </a:rPr>
              <a:t>Leads Source - %wise bifurcation</a:t>
            </a:r>
            <a:endParaRPr lang="en-IN">
              <a:effectLst/>
            </a:endParaRPr>
          </a:p>
          <a:p>
            <a:pPr>
              <a:defRPr/>
            </a:pPr>
            <a:r>
              <a:rPr lang="en-IN" sz="1800" b="1" i="0" baseline="0">
                <a:effectLst/>
              </a:rPr>
              <a:t>(Last 30 days)</a:t>
            </a:r>
            <a:endParaRPr lang="en-IN">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Sheet4!$B$39</c:f>
              <c:strCache>
                <c:ptCount val="1"/>
                <c:pt idx="0">
                  <c:v>Total</c:v>
                </c:pt>
              </c:strCache>
            </c:strRef>
          </c:tx>
          <c:spPr>
            <a:solidFill>
              <a:schemeClr val="accent6"/>
            </a:solidFill>
            <a:ln>
              <a:noFill/>
            </a:ln>
            <a:effectLst/>
            <a:sp3d/>
          </c:spPr>
          <c:invertIfNegative val="0"/>
          <c:cat>
            <c:strRef>
              <c:f>Sheet4!$A$40</c:f>
              <c:strCache>
                <c:ptCount val="1"/>
                <c:pt idx="0">
                  <c:v>Grand Total</c:v>
                </c:pt>
              </c:strCache>
            </c:strRef>
          </c:cat>
          <c:val>
            <c:numRef>
              <c:f>Sheet4!$B$40</c:f>
              <c:numCache>
                <c:formatCode>General</c:formatCode>
                <c:ptCount val="1"/>
              </c:numCache>
            </c:numRef>
          </c:val>
          <c:extLst>
            <c:ext xmlns:c16="http://schemas.microsoft.com/office/drawing/2014/chart" uri="{C3380CC4-5D6E-409C-BE32-E72D297353CC}">
              <c16:uniqueId val="{00000000-B8D7-4078-A534-8C176ED95B20}"/>
            </c:ext>
          </c:extLst>
        </c:ser>
        <c:dLbls>
          <c:showLegendKey val="0"/>
          <c:showVal val="0"/>
          <c:showCatName val="0"/>
          <c:showSerName val="0"/>
          <c:showPercent val="0"/>
          <c:showBubbleSize val="0"/>
        </c:dLbls>
        <c:gapWidth val="150"/>
        <c:shape val="box"/>
        <c:axId val="1394224496"/>
        <c:axId val="1232825712"/>
        <c:axId val="0"/>
      </c:bar3DChart>
      <c:catAx>
        <c:axId val="139422449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2825712"/>
        <c:crosses val="autoZero"/>
        <c:auto val="1"/>
        <c:lblAlgn val="ctr"/>
        <c:lblOffset val="100"/>
        <c:noMultiLvlLbl val="0"/>
      </c:catAx>
      <c:valAx>
        <c:axId val="1232825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224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path path="rect">
        <a:fillToRect l="100000" t="100000"/>
      </a:path>
      <a:tileRect r="-100000" b="-100000"/>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[Tender master data _dashboard (1) (1).xlsm]Sheet4!PivotTable23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t>Month Wise Growth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0"/>
          <c:showPercent val="0"/>
          <c:showBubbleSize val="0"/>
          <c:extLst>
            <c:ext xmlns:c15="http://schemas.microsoft.com/office/drawing/2012/chart" uri="{CE6537A1-D6FC-4f65-9D91-7224C49458BB}"/>
          </c:extLst>
        </c:dLbl>
      </c:pivotFmt>
      <c:pivotFmt>
        <c:idx val="6"/>
        <c:dLbl>
          <c:idx val="0"/>
          <c:showLegendKey val="0"/>
          <c:showVal val="1"/>
          <c:showCatName val="0"/>
          <c:showSerName val="0"/>
          <c:showPercent val="0"/>
          <c:showBubbleSize val="0"/>
          <c:extLst>
            <c:ext xmlns:c15="http://schemas.microsoft.com/office/drawing/2012/chart" uri="{CE6537A1-D6FC-4f65-9D91-7224C49458BB}"/>
          </c:extLst>
        </c:dLbl>
      </c:pivotFmt>
      <c:pivotFmt>
        <c:idx val="7"/>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Sheet4!$B$60:$B$61</c:f>
              <c:strCache>
                <c:ptCount val="1"/>
                <c:pt idx="0">
                  <c:v>Active</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Sheet4!$A$62:$A$71</c:f>
              <c:strCache>
                <c:ptCount val="9"/>
                <c:pt idx="0">
                  <c:v>Dec/22</c:v>
                </c:pt>
                <c:pt idx="1">
                  <c:v>Jan/23</c:v>
                </c:pt>
                <c:pt idx="2">
                  <c:v>Nov/22</c:v>
                </c:pt>
                <c:pt idx="3">
                  <c:v>Oct/22</c:v>
                </c:pt>
                <c:pt idx="4">
                  <c:v>Sep/22</c:v>
                </c:pt>
                <c:pt idx="5">
                  <c:v>Feb/23</c:v>
                </c:pt>
                <c:pt idx="6">
                  <c:v>Mar/23</c:v>
                </c:pt>
                <c:pt idx="7">
                  <c:v>Apr/23</c:v>
                </c:pt>
                <c:pt idx="8">
                  <c:v>May/23</c:v>
                </c:pt>
              </c:strCache>
            </c:strRef>
          </c:cat>
          <c:val>
            <c:numRef>
              <c:f>Sheet4!$B$62:$B$71</c:f>
              <c:numCache>
                <c:formatCode>General</c:formatCode>
                <c:ptCount val="9"/>
                <c:pt idx="8">
                  <c:v>1</c:v>
                </c:pt>
              </c:numCache>
            </c:numRef>
          </c:val>
          <c:extLst>
            <c:ext xmlns:c16="http://schemas.microsoft.com/office/drawing/2014/chart" uri="{C3380CC4-5D6E-409C-BE32-E72D297353CC}">
              <c16:uniqueId val="{00000000-547F-4607-8A38-FBD4F8912576}"/>
            </c:ext>
          </c:extLst>
        </c:ser>
        <c:ser>
          <c:idx val="1"/>
          <c:order val="1"/>
          <c:tx>
            <c:strRef>
              <c:f>Sheet4!$C$60:$C$61</c:f>
              <c:strCache>
                <c:ptCount val="1"/>
                <c:pt idx="0">
                  <c:v>Filed but cancelled by tenderer</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Sheet4!$A$62:$A$71</c:f>
              <c:strCache>
                <c:ptCount val="9"/>
                <c:pt idx="0">
                  <c:v>Dec/22</c:v>
                </c:pt>
                <c:pt idx="1">
                  <c:v>Jan/23</c:v>
                </c:pt>
                <c:pt idx="2">
                  <c:v>Nov/22</c:v>
                </c:pt>
                <c:pt idx="3">
                  <c:v>Oct/22</c:v>
                </c:pt>
                <c:pt idx="4">
                  <c:v>Sep/22</c:v>
                </c:pt>
                <c:pt idx="5">
                  <c:v>Feb/23</c:v>
                </c:pt>
                <c:pt idx="6">
                  <c:v>Mar/23</c:v>
                </c:pt>
                <c:pt idx="7">
                  <c:v>Apr/23</c:v>
                </c:pt>
                <c:pt idx="8">
                  <c:v>May/23</c:v>
                </c:pt>
              </c:strCache>
            </c:strRef>
          </c:cat>
          <c:val>
            <c:numRef>
              <c:f>Sheet4!$C$62:$C$71</c:f>
              <c:numCache>
                <c:formatCode>General</c:formatCode>
                <c:ptCount val="9"/>
                <c:pt idx="0">
                  <c:v>1</c:v>
                </c:pt>
              </c:numCache>
            </c:numRef>
          </c:val>
          <c:extLst>
            <c:ext xmlns:c16="http://schemas.microsoft.com/office/drawing/2014/chart" uri="{C3380CC4-5D6E-409C-BE32-E72D297353CC}">
              <c16:uniqueId val="{00000001-547F-4607-8A38-FBD4F8912576}"/>
            </c:ext>
          </c:extLst>
        </c:ser>
        <c:ser>
          <c:idx val="2"/>
          <c:order val="2"/>
          <c:tx>
            <c:strRef>
              <c:f>Sheet4!$D$60:$D$61</c:f>
              <c:strCache>
                <c:ptCount val="1"/>
                <c:pt idx="0">
                  <c:v>Inactive</c:v>
                </c:pt>
              </c:strCache>
            </c:strRef>
          </c:tx>
          <c:spPr>
            <a:solidFill>
              <a:schemeClr val="accent3"/>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Sheet4!$A$62:$A$71</c:f>
              <c:strCache>
                <c:ptCount val="9"/>
                <c:pt idx="0">
                  <c:v>Dec/22</c:v>
                </c:pt>
                <c:pt idx="1">
                  <c:v>Jan/23</c:v>
                </c:pt>
                <c:pt idx="2">
                  <c:v>Nov/22</c:v>
                </c:pt>
                <c:pt idx="3">
                  <c:v>Oct/22</c:v>
                </c:pt>
                <c:pt idx="4">
                  <c:v>Sep/22</c:v>
                </c:pt>
                <c:pt idx="5">
                  <c:v>Feb/23</c:v>
                </c:pt>
                <c:pt idx="6">
                  <c:v>Mar/23</c:v>
                </c:pt>
                <c:pt idx="7">
                  <c:v>Apr/23</c:v>
                </c:pt>
                <c:pt idx="8">
                  <c:v>May/23</c:v>
                </c:pt>
              </c:strCache>
            </c:strRef>
          </c:cat>
          <c:val>
            <c:numRef>
              <c:f>Sheet4!$D$62:$D$71</c:f>
              <c:numCache>
                <c:formatCode>General</c:formatCode>
                <c:ptCount val="9"/>
                <c:pt idx="0">
                  <c:v>5</c:v>
                </c:pt>
                <c:pt idx="1">
                  <c:v>2</c:v>
                </c:pt>
                <c:pt idx="2">
                  <c:v>6</c:v>
                </c:pt>
                <c:pt idx="3">
                  <c:v>10</c:v>
                </c:pt>
                <c:pt idx="4">
                  <c:v>9</c:v>
                </c:pt>
                <c:pt idx="5">
                  <c:v>5</c:v>
                </c:pt>
                <c:pt idx="6">
                  <c:v>3</c:v>
                </c:pt>
                <c:pt idx="7">
                  <c:v>2</c:v>
                </c:pt>
              </c:numCache>
            </c:numRef>
          </c:val>
          <c:extLst>
            <c:ext xmlns:c16="http://schemas.microsoft.com/office/drawing/2014/chart" uri="{C3380CC4-5D6E-409C-BE32-E72D297353CC}">
              <c16:uniqueId val="{00000002-547F-4607-8A38-FBD4F8912576}"/>
            </c:ext>
          </c:extLst>
        </c:ser>
        <c:dLbls>
          <c:showLegendKey val="0"/>
          <c:showVal val="1"/>
          <c:showCatName val="0"/>
          <c:showSerName val="0"/>
          <c:showPercent val="0"/>
          <c:showBubbleSize val="0"/>
        </c:dLbls>
        <c:gapWidth val="150"/>
        <c:shape val="box"/>
        <c:axId val="1530187920"/>
        <c:axId val="1530186832"/>
        <c:axId val="0"/>
      </c:bar3DChart>
      <c:catAx>
        <c:axId val="15301879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0186832"/>
        <c:crosses val="autoZero"/>
        <c:auto val="1"/>
        <c:lblAlgn val="ctr"/>
        <c:lblOffset val="100"/>
        <c:noMultiLvlLbl val="0"/>
      </c:catAx>
      <c:valAx>
        <c:axId val="1530186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01879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path path="rect">
        <a:fillToRect l="100000" t="100000"/>
      </a:path>
      <a:tileRect r="-100000" b="-100000"/>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[Tender master data _dashboard (1) (1).xlsm]Sheet7!PivotTable6</c:name>
    <c:fmtId val="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s>
    <c:plotArea>
      <c:layout/>
      <c:doughnutChart>
        <c:varyColors val="1"/>
        <c:ser>
          <c:idx val="0"/>
          <c:order val="0"/>
          <c:tx>
            <c:strRef>
              <c:f>Sheet7!$B$30</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3F06-4E26-B188-D87230BE2DB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3F06-4E26-B188-D87230BE2DB6}"/>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Sheet7!$A$31:$A$33</c:f>
              <c:strCache>
                <c:ptCount val="2"/>
                <c:pt idx="0">
                  <c:v>No</c:v>
                </c:pt>
                <c:pt idx="1">
                  <c:v>Yes</c:v>
                </c:pt>
              </c:strCache>
            </c:strRef>
          </c:cat>
          <c:val>
            <c:numRef>
              <c:f>Sheet7!$B$31:$B$33</c:f>
              <c:numCache>
                <c:formatCode>General</c:formatCode>
                <c:ptCount val="2"/>
                <c:pt idx="0">
                  <c:v>26</c:v>
                </c:pt>
                <c:pt idx="1">
                  <c:v>7</c:v>
                </c:pt>
              </c:numCache>
            </c:numRef>
          </c:val>
          <c:extLst>
            <c:ext xmlns:c16="http://schemas.microsoft.com/office/drawing/2014/chart" uri="{C3380CC4-5D6E-409C-BE32-E72D297353CC}">
              <c16:uniqueId val="{00000004-3F06-4E26-B188-D87230BE2DB6}"/>
            </c:ext>
          </c:extLst>
        </c:ser>
        <c:dLbls>
          <c:showLegendKey val="0"/>
          <c:showVal val="1"/>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[Tender master data _dashboard (1) (1).xlsm]Sheet4!PivotTable2</c:name>
    <c:fmtId val="3"/>
  </c:pivotSource>
  <c:chart>
    <c:title>
      <c:tx>
        <c:rich>
          <a:bodyPr rot="0" spcFirstLastPara="1" vertOverflow="ellipsis" vert="horz" wrap="square" anchor="ctr" anchorCtr="1"/>
          <a:lstStyle/>
          <a:p>
            <a:pPr>
              <a:defRPr sz="1800" b="1" i="0" u="none" strike="noStrike" kern="1200" baseline="0">
                <a:solidFill>
                  <a:schemeClr val="dk1"/>
                </a:solidFill>
                <a:latin typeface="+mn-lt"/>
                <a:ea typeface="+mn-ea"/>
                <a:cs typeface="+mn-cs"/>
              </a:defRPr>
            </a:pPr>
            <a:r>
              <a:rPr lang="en-US"/>
              <a:t>Leads Source - %wise bifurcation(Till Date) Started state portal in Dec'22</a:t>
            </a:r>
          </a:p>
        </c:rich>
      </c:tx>
      <c:layout>
        <c:manualLayout>
          <c:xMode val="edge"/>
          <c:yMode val="edge"/>
          <c:x val="1.8370426912244591E-3"/>
          <c:y val="8.1312266691231441E-3"/>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solidFill>
              <a:latin typeface="+mn-lt"/>
              <a:ea typeface="+mn-ea"/>
              <a:cs typeface="+mn-cs"/>
            </a:defRPr>
          </a:pPr>
          <a:endParaRPr lang="en-US"/>
        </a:p>
      </c:txPr>
    </c:title>
    <c:autoTitleDeleted val="0"/>
    <c:pivotFmts>
      <c:pivotFmt>
        <c:idx val="0"/>
        <c:spPr>
          <a:solidFill>
            <a:schemeClr val="accent2"/>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2"/>
          </a:solidFill>
          <a:ln>
            <a:noFill/>
          </a:ln>
          <a:effectLst>
            <a:outerShdw blurRad="317500" algn="ctr" rotWithShape="0">
              <a:prstClr val="black">
                <a:alpha val="25000"/>
              </a:prstClr>
            </a:outerShdw>
          </a:effectLst>
        </c:spPr>
      </c:pivotFmt>
      <c:pivotFmt>
        <c:idx val="3"/>
        <c:spPr>
          <a:solidFill>
            <a:schemeClr val="accent2"/>
          </a:solidFill>
          <a:ln>
            <a:noFill/>
          </a:ln>
          <a:effectLst>
            <a:outerShdw blurRad="317500" algn="ctr" rotWithShape="0">
              <a:prstClr val="black">
                <a:alpha val="25000"/>
              </a:prstClr>
            </a:outerShdw>
          </a:effectLst>
        </c:spPr>
      </c:pivotFmt>
      <c:pivotFmt>
        <c:idx val="4"/>
        <c:spPr>
          <a:solidFill>
            <a:schemeClr val="accent2"/>
          </a:solidFill>
          <a:ln>
            <a:noFill/>
          </a:ln>
          <a:effectLst>
            <a:outerShdw blurRad="317500" algn="ctr" rotWithShape="0">
              <a:prstClr val="black">
                <a:alpha val="25000"/>
              </a:prstClr>
            </a:outerShdw>
          </a:effectLst>
        </c:spPr>
      </c:pivotFmt>
      <c:pivotFmt>
        <c:idx val="5"/>
        <c:spPr>
          <a:solidFill>
            <a:schemeClr val="accent2"/>
          </a:solidFill>
          <a:ln>
            <a:noFill/>
          </a:ln>
          <a:effectLst>
            <a:outerShdw blurRad="317500" algn="ctr" rotWithShape="0">
              <a:prstClr val="black">
                <a:alpha val="25000"/>
              </a:prstClr>
            </a:outerShdw>
          </a:effectLst>
        </c:spPr>
      </c:pivotFmt>
      <c:pivotFmt>
        <c:idx val="6"/>
        <c:spPr>
          <a:solidFill>
            <a:schemeClr val="accent2"/>
          </a:solidFill>
          <a:ln>
            <a:noFill/>
          </a:ln>
          <a:effectLst>
            <a:outerShdw blurRad="317500" algn="ctr" rotWithShape="0">
              <a:prstClr val="black">
                <a:alpha val="25000"/>
              </a:prstClr>
            </a:outerShdw>
          </a:effectLst>
        </c:spPr>
      </c:pivotFmt>
      <c:pivotFmt>
        <c:idx val="7"/>
        <c:spPr>
          <a:solidFill>
            <a:schemeClr val="accent2"/>
          </a:solidFill>
          <a:ln>
            <a:noFill/>
          </a:ln>
          <a:effectLst>
            <a:outerShdw blurRad="317500" algn="ctr" rotWithShape="0">
              <a:prstClr val="black">
                <a:alpha val="25000"/>
              </a:prstClr>
            </a:outerShdw>
          </a:effectLst>
        </c:spPr>
      </c:pivotFmt>
      <c:pivotFmt>
        <c:idx val="8"/>
        <c:spPr>
          <a:solidFill>
            <a:schemeClr val="accent2"/>
          </a:solidFill>
          <a:ln>
            <a:noFill/>
          </a:ln>
          <a:effectLst>
            <a:outerShdw blurRad="317500" algn="ctr" rotWithShape="0">
              <a:prstClr val="black">
                <a:alpha val="25000"/>
              </a:prstClr>
            </a:outerShdw>
          </a:effectLst>
        </c:spPr>
      </c:pivotFmt>
      <c:pivotFmt>
        <c:idx val="9"/>
        <c:spPr>
          <a:solidFill>
            <a:schemeClr val="accent2"/>
          </a:solidFill>
          <a:ln>
            <a:noFill/>
          </a:ln>
          <a:effectLst>
            <a:outerShdw blurRad="317500" algn="ctr" rotWithShape="0">
              <a:prstClr val="black">
                <a:alpha val="25000"/>
              </a:prstClr>
            </a:outerShdw>
          </a:effectLst>
        </c:spPr>
      </c:pivotFmt>
      <c:pivotFmt>
        <c:idx val="10"/>
        <c:spPr>
          <a:solidFill>
            <a:schemeClr val="accent2"/>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1"/>
      </c:pivotFmt>
      <c:pivotFmt>
        <c:idx val="12"/>
      </c:pivotFmt>
      <c:pivotFmt>
        <c:idx val="13"/>
      </c:pivotFmt>
      <c:pivotFmt>
        <c:idx val="14"/>
        <c:spPr>
          <a:solidFill>
            <a:schemeClr val="accent2"/>
          </a:solidFill>
          <a:ln>
            <a:noFill/>
          </a:ln>
          <a:effectLst>
            <a:outerShdw blurRad="317500" algn="ctr" rotWithShape="0">
              <a:prstClr val="black">
                <a:alpha val="25000"/>
              </a:prstClr>
            </a:outerShdw>
          </a:effectLst>
        </c:spPr>
      </c:pivotFmt>
      <c:pivotFmt>
        <c:idx val="15"/>
      </c:pivotFmt>
      <c:pivotFmt>
        <c:idx val="16"/>
      </c:pivotFmt>
      <c:pivotFmt>
        <c:idx val="17"/>
      </c:pivotFmt>
      <c:pivotFmt>
        <c:idx val="18"/>
        <c:dLbl>
          <c:idx val="0"/>
          <c:layout>
            <c:manualLayout>
              <c:x val="0.12579319949600523"/>
              <c:y val="-7.425092592592606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2"/>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2"/>
          </a:solidFill>
          <a:ln>
            <a:noFill/>
          </a:ln>
          <a:effectLst>
            <a:outerShdw blurRad="317500" algn="ctr" rotWithShape="0">
              <a:prstClr val="black">
                <a:alpha val="25000"/>
              </a:prstClr>
            </a:outerShdw>
          </a:effectLst>
        </c:spPr>
      </c:pivotFmt>
      <c:pivotFmt>
        <c:idx val="21"/>
        <c:spPr>
          <a:solidFill>
            <a:schemeClr val="accent2"/>
          </a:solidFill>
          <a:ln>
            <a:noFill/>
          </a:ln>
          <a:effectLst>
            <a:outerShdw blurRad="317500" algn="ctr" rotWithShape="0">
              <a:prstClr val="black">
                <a:alpha val="25000"/>
              </a:prstClr>
            </a:outerShdw>
          </a:effectLst>
        </c:spPr>
      </c:pivotFmt>
      <c:pivotFmt>
        <c:idx val="22"/>
        <c:spPr>
          <a:solidFill>
            <a:schemeClr val="accent2"/>
          </a:solidFill>
          <a:ln>
            <a:noFill/>
          </a:ln>
          <a:effectLst>
            <a:outerShdw blurRad="317500" algn="ctr" rotWithShape="0">
              <a:prstClr val="black">
                <a:alpha val="25000"/>
              </a:prstClr>
            </a:outerShdw>
          </a:effectLst>
        </c:spPr>
      </c:pivotFmt>
      <c:pivotFmt>
        <c:idx val="23"/>
        <c:spPr>
          <a:solidFill>
            <a:schemeClr val="accent2"/>
          </a:solidFill>
          <a:ln>
            <a:noFill/>
          </a:ln>
          <a:effectLst>
            <a:outerShdw blurRad="317500" algn="ctr" rotWithShape="0">
              <a:prstClr val="black">
                <a:alpha val="25000"/>
              </a:prstClr>
            </a:outerShdw>
          </a:effectLst>
        </c:spPr>
      </c:pivotFmt>
      <c:pivotFmt>
        <c:idx val="24"/>
        <c:spPr>
          <a:solidFill>
            <a:schemeClr val="accent2"/>
          </a:solidFill>
          <a:ln>
            <a:noFill/>
          </a:ln>
          <a:effectLst>
            <a:outerShdw blurRad="317500" algn="ctr" rotWithShape="0">
              <a:prstClr val="black">
                <a:alpha val="25000"/>
              </a:prstClr>
            </a:outerShdw>
          </a:effectLst>
        </c:spPr>
      </c:pivotFmt>
      <c:pivotFmt>
        <c:idx val="25"/>
        <c:spPr>
          <a:solidFill>
            <a:schemeClr val="accent2"/>
          </a:solidFill>
          <a:ln>
            <a:noFill/>
          </a:ln>
          <a:effectLst>
            <a:outerShdw blurRad="317500" algn="ctr" rotWithShape="0">
              <a:prstClr val="black">
                <a:alpha val="25000"/>
              </a:prstClr>
            </a:outerShdw>
          </a:effectLst>
        </c:spPr>
      </c:pivotFmt>
      <c:pivotFmt>
        <c:idx val="26"/>
        <c:spPr>
          <a:solidFill>
            <a:schemeClr val="accent2"/>
          </a:solidFill>
          <a:ln>
            <a:noFill/>
          </a:ln>
          <a:effectLst>
            <a:outerShdw blurRad="317500" algn="ctr" rotWithShape="0">
              <a:prstClr val="black">
                <a:alpha val="25000"/>
              </a:prstClr>
            </a:outerShdw>
          </a:effectLst>
        </c:spPr>
      </c:pivotFmt>
    </c:pivotFmts>
    <c:plotArea>
      <c:layout/>
      <c:pieChart>
        <c:varyColors val="1"/>
        <c:ser>
          <c:idx val="0"/>
          <c:order val="0"/>
          <c:tx>
            <c:strRef>
              <c:f>Sheet4!$B$21</c:f>
              <c:strCache>
                <c:ptCount val="1"/>
                <c:pt idx="0">
                  <c:v>Total</c:v>
                </c:pt>
              </c:strCache>
            </c:strRef>
          </c:tx>
          <c:dPt>
            <c:idx val="0"/>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906B-4F9B-AB01-09FA6196D9FD}"/>
              </c:ext>
            </c:extLst>
          </c:dPt>
          <c:dPt>
            <c:idx val="1"/>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906B-4F9B-AB01-09FA6196D9FD}"/>
              </c:ext>
            </c:extLst>
          </c:dPt>
          <c:dPt>
            <c:idx val="2"/>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906B-4F9B-AB01-09FA6196D9FD}"/>
              </c:ext>
            </c:extLst>
          </c:dPt>
          <c:dPt>
            <c:idx val="3"/>
            <c:bubble3D val="0"/>
            <c:spPr>
              <a:solidFill>
                <a:schemeClr val="accent2">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906B-4F9B-AB01-09FA6196D9FD}"/>
              </c:ext>
            </c:extLst>
          </c:dPt>
          <c:dPt>
            <c:idx val="4"/>
            <c:bubble3D val="0"/>
            <c:spPr>
              <a:solidFill>
                <a:schemeClr val="accent4">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906B-4F9B-AB01-09FA6196D9FD}"/>
              </c:ext>
            </c:extLst>
          </c:dPt>
          <c:dPt>
            <c:idx val="5"/>
            <c:bubble3D val="0"/>
            <c:spPr>
              <a:solidFill>
                <a:schemeClr val="accent6">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906B-4F9B-AB01-09FA6196D9FD}"/>
              </c:ext>
            </c:extLst>
          </c:dPt>
          <c:dPt>
            <c:idx val="6"/>
            <c:bubble3D val="0"/>
            <c:spPr>
              <a:solidFill>
                <a:schemeClr val="accent2">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906B-4F9B-AB01-09FA6196D9FD}"/>
              </c:ext>
            </c:extLst>
          </c:dPt>
          <c:dLbls>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Sheet4!$A$22:$A$29</c:f>
              <c:strCache>
                <c:ptCount val="7"/>
                <c:pt idx="0">
                  <c:v>CPPP</c:v>
                </c:pt>
                <c:pt idx="1">
                  <c:v>eproc Punjab</c:v>
                </c:pt>
                <c:pt idx="2">
                  <c:v>GeM</c:v>
                </c:pt>
                <c:pt idx="3">
                  <c:v>HP 
Procurement
 Portal</c:v>
                </c:pt>
                <c:pt idx="4">
                  <c:v>MP Procurement Portal</c:v>
                </c:pt>
                <c:pt idx="5">
                  <c:v>Prashank's lead</c:v>
                </c:pt>
                <c:pt idx="6">
                  <c:v>Tender Tiger</c:v>
                </c:pt>
              </c:strCache>
            </c:strRef>
          </c:cat>
          <c:val>
            <c:numRef>
              <c:f>Sheet4!$B$22:$B$29</c:f>
              <c:numCache>
                <c:formatCode>General</c:formatCode>
                <c:ptCount val="7"/>
                <c:pt idx="0">
                  <c:v>1</c:v>
                </c:pt>
                <c:pt idx="1">
                  <c:v>1</c:v>
                </c:pt>
                <c:pt idx="2">
                  <c:v>1</c:v>
                </c:pt>
                <c:pt idx="3">
                  <c:v>1</c:v>
                </c:pt>
                <c:pt idx="4">
                  <c:v>2</c:v>
                </c:pt>
                <c:pt idx="5">
                  <c:v>1</c:v>
                </c:pt>
                <c:pt idx="6">
                  <c:v>26</c:v>
                </c:pt>
              </c:numCache>
            </c:numRef>
          </c:val>
          <c:extLst>
            <c:ext xmlns:c16="http://schemas.microsoft.com/office/drawing/2014/chart" uri="{C3380CC4-5D6E-409C-BE32-E72D297353CC}">
              <c16:uniqueId val="{00000011-AAFF-4B91-8978-5FB341F61878}"/>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tr"/>
      <c:layout>
        <c:manualLayout>
          <c:xMode val="edge"/>
          <c:yMode val="edge"/>
          <c:x val="0.74677790184391579"/>
          <c:y val="3.1878968253968257E-2"/>
          <c:w val="0.21807680826225698"/>
          <c:h val="0.6910427545163422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accent3"/>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[Tender master data _dashboard (1) (1).xlsm]Sheet7!PivotTable5</c:name>
    <c:fmtId val="2"/>
  </c:pivotSource>
  <c:chart>
    <c:title>
      <c:tx>
        <c:rich>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r>
              <a:rPr lang="en-US"/>
              <a:t>Primary Reason for Disqualification</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Sheet7!$B$3</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Sheet7!$A$4:$A$21</c:f>
              <c:strCache>
                <c:ptCount val="17"/>
                <c:pt idx="0">
                  <c:v>CMMI-3</c:v>
                </c:pt>
                <c:pt idx="1">
                  <c:v>Completion certificate required from client</c:v>
                </c:pt>
                <c:pt idx="2">
                  <c:v>Experience in AI/ML based Voicebot or Chatbot implementation</c:v>
                </c:pt>
                <c:pt idx="3">
                  <c:v>Experience in banking services Central / State Govt Organization / PSU / Public Listed Company</c:v>
                </c:pt>
                <c:pt idx="4">
                  <c:v>experience in providing BBPS  BHARAT BILL PAYMENT (BBPS) AND CREDIT
FACILITIES (BNPL) services</c:v>
                </c:pt>
                <c:pt idx="5">
                  <c:v>Experience in providing similar services to Universities</c:v>
                </c:pt>
                <c:pt idx="6">
                  <c:v>Experience in working for Central / State Govt Organization / PSU / Public Listed Company</c:v>
                </c:pt>
                <c:pt idx="7">
                  <c:v>Filed</c:v>
                </c:pt>
                <c:pt idx="8">
                  <c:v>Hardware installation required</c:v>
                </c:pt>
                <c:pt idx="9">
                  <c:v>Local office required</c:v>
                </c:pt>
                <c:pt idx="10">
                  <c:v>No response received for technical feasibility</c:v>
                </c:pt>
                <c:pt idx="11">
                  <c:v>No response received from management</c:v>
                </c:pt>
                <c:pt idx="12">
                  <c:v>Not empanelled under CERT -IN </c:v>
                </c:pt>
                <c:pt idx="13">
                  <c:v>Not experienced in Govt/PSU projects</c:v>
                </c:pt>
                <c:pt idx="14">
                  <c:v>Programmable logic controller</c:v>
                </c:pt>
                <c:pt idx="15">
                  <c:v>We do not work on PHP-Laravel technology</c:v>
                </c:pt>
                <c:pt idx="16">
                  <c:v>Web Intelligence tool procurement/intallation</c:v>
                </c:pt>
              </c:strCache>
            </c:strRef>
          </c:cat>
          <c:val>
            <c:numRef>
              <c:f>Sheet7!$B$4:$B$21</c:f>
              <c:numCache>
                <c:formatCode>General</c:formatCode>
                <c:ptCount val="17"/>
                <c:pt idx="0">
                  <c:v>6</c:v>
                </c:pt>
                <c:pt idx="1">
                  <c:v>4</c:v>
                </c:pt>
                <c:pt idx="2">
                  <c:v>1</c:v>
                </c:pt>
                <c:pt idx="3">
                  <c:v>1</c:v>
                </c:pt>
                <c:pt idx="4">
                  <c:v>1</c:v>
                </c:pt>
                <c:pt idx="5">
                  <c:v>1</c:v>
                </c:pt>
                <c:pt idx="6">
                  <c:v>11</c:v>
                </c:pt>
                <c:pt idx="7">
                  <c:v>1</c:v>
                </c:pt>
                <c:pt idx="8">
                  <c:v>2</c:v>
                </c:pt>
                <c:pt idx="9">
                  <c:v>3</c:v>
                </c:pt>
                <c:pt idx="10">
                  <c:v>1</c:v>
                </c:pt>
                <c:pt idx="11">
                  <c:v>4</c:v>
                </c:pt>
                <c:pt idx="12">
                  <c:v>1</c:v>
                </c:pt>
                <c:pt idx="13">
                  <c:v>2</c:v>
                </c:pt>
                <c:pt idx="14">
                  <c:v>1</c:v>
                </c:pt>
                <c:pt idx="15">
                  <c:v>1</c:v>
                </c:pt>
                <c:pt idx="16">
                  <c:v>1</c:v>
                </c:pt>
              </c:numCache>
            </c:numRef>
          </c:val>
          <c:extLst>
            <c:ext xmlns:c16="http://schemas.microsoft.com/office/drawing/2014/chart" uri="{C3380CC4-5D6E-409C-BE32-E72D297353CC}">
              <c16:uniqueId val="{00000000-E8B5-488D-BBCA-EFB94F4DC310}"/>
            </c:ext>
          </c:extLst>
        </c:ser>
        <c:dLbls>
          <c:dLblPos val="inEnd"/>
          <c:showLegendKey val="0"/>
          <c:showVal val="1"/>
          <c:showCatName val="0"/>
          <c:showSerName val="0"/>
          <c:showPercent val="0"/>
          <c:showBubbleSize val="0"/>
        </c:dLbls>
        <c:gapWidth val="115"/>
        <c:overlap val="-20"/>
        <c:axId val="1530179216"/>
        <c:axId val="1530177040"/>
      </c:barChart>
      <c:catAx>
        <c:axId val="1530179216"/>
        <c:scaling>
          <c:orientation val="minMax"/>
        </c:scaling>
        <c:delete val="0"/>
        <c:axPos val="l"/>
        <c:numFmt formatCode="General" sourceLinked="1"/>
        <c:majorTickMark val="none"/>
        <c:minorTickMark val="none"/>
        <c:tickLblPos val="nextTo"/>
        <c:spPr>
          <a:noFill/>
          <a:ln w="12700" cap="flat" cmpd="sng" algn="ctr">
            <a:no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530177040"/>
        <c:crosses val="autoZero"/>
        <c:auto val="1"/>
        <c:lblAlgn val="ctr"/>
        <c:lblOffset val="100"/>
        <c:noMultiLvlLbl val="0"/>
      </c:catAx>
      <c:valAx>
        <c:axId val="1530177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5301792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accent4"/>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[Tender master data _dashboard (1) (1).xlsm]Sheet4!PivotTable4</c:name>
    <c:fmtId val="2"/>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IN" sz="1800" b="1" i="0" baseline="0">
                <a:solidFill>
                  <a:sysClr val="windowText" lastClr="000000"/>
                </a:solidFill>
                <a:effectLst/>
              </a:rPr>
              <a:t>Leads Source - %wise bifurcation</a:t>
            </a:r>
            <a:endParaRPr lang="en-IN">
              <a:solidFill>
                <a:sysClr val="windowText" lastClr="000000"/>
              </a:solidFill>
              <a:effectLst/>
            </a:endParaRPr>
          </a:p>
          <a:p>
            <a:pPr>
              <a:defRPr>
                <a:solidFill>
                  <a:sysClr val="windowText" lastClr="000000"/>
                </a:solidFill>
              </a:defRPr>
            </a:pPr>
            <a:r>
              <a:rPr lang="en-IN" sz="1800" b="1" i="0" baseline="0">
                <a:solidFill>
                  <a:sysClr val="windowText" lastClr="000000"/>
                </a:solidFill>
                <a:effectLst/>
              </a:rPr>
              <a:t>(Last 30 days)</a:t>
            </a:r>
            <a:endParaRPr lang="en-IN">
              <a:solidFill>
                <a:sysClr val="windowText" lastClr="000000"/>
              </a:solidFill>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Sheet4!$B$39</c:f>
              <c:strCache>
                <c:ptCount val="1"/>
                <c:pt idx="0">
                  <c:v>Total</c:v>
                </c:pt>
              </c:strCache>
            </c:strRef>
          </c:tx>
          <c:spPr>
            <a:solidFill>
              <a:schemeClr val="accent6"/>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Sheet4!$A$40</c:f>
              <c:strCache>
                <c:ptCount val="1"/>
                <c:pt idx="0">
                  <c:v>Grand Total</c:v>
                </c:pt>
              </c:strCache>
            </c:strRef>
          </c:cat>
          <c:val>
            <c:numRef>
              <c:f>Sheet4!$B$40</c:f>
              <c:numCache>
                <c:formatCode>General</c:formatCode>
                <c:ptCount val="1"/>
              </c:numCache>
            </c:numRef>
          </c:val>
          <c:extLst>
            <c:ext xmlns:c16="http://schemas.microsoft.com/office/drawing/2014/chart" uri="{C3380CC4-5D6E-409C-BE32-E72D297353CC}">
              <c16:uniqueId val="{00000000-D68C-4310-9C68-D6FC31F15DC0}"/>
            </c:ext>
          </c:extLst>
        </c:ser>
        <c:dLbls>
          <c:showLegendKey val="0"/>
          <c:showVal val="1"/>
          <c:showCatName val="0"/>
          <c:showSerName val="0"/>
          <c:showPercent val="0"/>
          <c:showBubbleSize val="0"/>
        </c:dLbls>
        <c:gapWidth val="150"/>
        <c:shape val="box"/>
        <c:axId val="1530181936"/>
        <c:axId val="1530189008"/>
        <c:axId val="0"/>
      </c:bar3DChart>
      <c:catAx>
        <c:axId val="153018193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0189008"/>
        <c:crosses val="autoZero"/>
        <c:auto val="1"/>
        <c:lblAlgn val="ctr"/>
        <c:lblOffset val="100"/>
        <c:noMultiLvlLbl val="0"/>
      </c:catAx>
      <c:valAx>
        <c:axId val="1530189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018193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path path="rect">
        <a:fillToRect l="100000" t="100000"/>
      </a:path>
      <a:tileRect r="-100000" b="-100000"/>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[Tender master data _dashboard (1) (1).xlsm]Sheet5!PivotTable1</c:name>
    <c:fmtId val="2"/>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Month Wise Distribution of Source based on the Status</a:t>
            </a:r>
          </a:p>
        </c:rich>
      </c:tx>
      <c:layout>
        <c:manualLayout>
          <c:xMode val="edge"/>
          <c:yMode val="edge"/>
          <c:x val="0.12905247766899355"/>
          <c:y val="5.1480051480051478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Sheet5!$D$3</c:f>
              <c:strCache>
                <c:ptCount val="1"/>
                <c:pt idx="0">
                  <c:v>Total</c:v>
                </c:pt>
              </c:strCache>
            </c:strRef>
          </c:tx>
          <c:spPr>
            <a:solidFill>
              <a:schemeClr val="accent6"/>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Sheet5!$A$4:$C$38</c:f>
              <c:multiLvlStrCache>
                <c:ptCount val="14"/>
                <c:lvl>
                  <c:pt idx="0">
                    <c:v>Inactive</c:v>
                  </c:pt>
                  <c:pt idx="1">
                    <c:v>Inactive</c:v>
                  </c:pt>
                  <c:pt idx="2">
                    <c:v>Inactive</c:v>
                  </c:pt>
                  <c:pt idx="3">
                    <c:v>Inactive</c:v>
                  </c:pt>
                  <c:pt idx="4">
                    <c:v>Inactive</c:v>
                  </c:pt>
                  <c:pt idx="5">
                    <c:v>Inactive</c:v>
                  </c:pt>
                  <c:pt idx="6">
                    <c:v>Inactive</c:v>
                  </c:pt>
                  <c:pt idx="7">
                    <c:v>Inactive</c:v>
                  </c:pt>
                  <c:pt idx="8">
                    <c:v>Inactive</c:v>
                  </c:pt>
                  <c:pt idx="9">
                    <c:v>Inactive</c:v>
                  </c:pt>
                  <c:pt idx="10">
                    <c:v>Filed but cancelled by tenderer</c:v>
                  </c:pt>
                  <c:pt idx="11">
                    <c:v>Inactive</c:v>
                  </c:pt>
                  <c:pt idx="12">
                    <c:v>Inactive</c:v>
                  </c:pt>
                  <c:pt idx="13">
                    <c:v>Inactive</c:v>
                  </c:pt>
                </c:lvl>
                <c:lvl>
                  <c:pt idx="0">
                    <c:v>Tender Tiger</c:v>
                  </c:pt>
                  <c:pt idx="1">
                    <c:v>Tender Tiger</c:v>
                  </c:pt>
                  <c:pt idx="2">
                    <c:v>Prashank's lead</c:v>
                  </c:pt>
                  <c:pt idx="3">
                    <c:v>Tender Tiger</c:v>
                  </c:pt>
                  <c:pt idx="4">
                    <c:v>Haryana Procurement Portal</c:v>
                  </c:pt>
                  <c:pt idx="5">
                    <c:v>Tender Tiger</c:v>
                  </c:pt>
                  <c:pt idx="6">
                    <c:v>MP Procurement Portal</c:v>
                  </c:pt>
                  <c:pt idx="7">
                    <c:v>Tender Tiger</c:v>
                  </c:pt>
                  <c:pt idx="8">
                    <c:v>UP Procurement Portal</c:v>
                  </c:pt>
                  <c:pt idx="9">
                    <c:v>CPPP</c:v>
                  </c:pt>
                  <c:pt idx="10">
                    <c:v>eproc Punjab</c:v>
                  </c:pt>
                  <c:pt idx="11">
                    <c:v>GeM</c:v>
                  </c:pt>
                  <c:pt idx="12">
                    <c:v>HP 
Procurement
 Portal</c:v>
                  </c:pt>
                  <c:pt idx="13">
                    <c:v>MP Procurement Portal</c:v>
                  </c:pt>
                </c:lvl>
                <c:lvl>
                  <c:pt idx="0">
                    <c:v>Sep/22</c:v>
                  </c:pt>
                  <c:pt idx="1">
                    <c:v>Oct/22</c:v>
                  </c:pt>
                  <c:pt idx="2">
                    <c:v>Nov/22</c:v>
                  </c:pt>
                  <c:pt idx="4">
                    <c:v>Jan/23</c:v>
                  </c:pt>
                  <c:pt idx="6">
                    <c:v>Feb/23</c:v>
                  </c:pt>
                  <c:pt idx="9">
                    <c:v>Dec/22</c:v>
                  </c:pt>
                </c:lvl>
              </c:multiLvlStrCache>
            </c:multiLvlStrRef>
          </c:cat>
          <c:val>
            <c:numRef>
              <c:f>Sheet5!$D$4:$D$38</c:f>
              <c:numCache>
                <c:formatCode>General</c:formatCode>
                <c:ptCount val="14"/>
                <c:pt idx="0">
                  <c:v>9</c:v>
                </c:pt>
                <c:pt idx="1">
                  <c:v>10</c:v>
                </c:pt>
                <c:pt idx="2">
                  <c:v>1</c:v>
                </c:pt>
                <c:pt idx="3">
                  <c:v>5</c:v>
                </c:pt>
                <c:pt idx="4">
                  <c:v>1</c:v>
                </c:pt>
                <c:pt idx="5">
                  <c:v>1</c:v>
                </c:pt>
                <c:pt idx="6">
                  <c:v>1</c:v>
                </c:pt>
                <c:pt idx="7">
                  <c:v>3</c:v>
                </c:pt>
                <c:pt idx="8">
                  <c:v>1</c:v>
                </c:pt>
                <c:pt idx="9">
                  <c:v>1</c:v>
                </c:pt>
                <c:pt idx="10">
                  <c:v>1</c:v>
                </c:pt>
                <c:pt idx="11">
                  <c:v>1</c:v>
                </c:pt>
                <c:pt idx="12">
                  <c:v>1</c:v>
                </c:pt>
                <c:pt idx="13">
                  <c:v>2</c:v>
                </c:pt>
              </c:numCache>
            </c:numRef>
          </c:val>
          <c:extLst>
            <c:ext xmlns:c16="http://schemas.microsoft.com/office/drawing/2014/chart" uri="{C3380CC4-5D6E-409C-BE32-E72D297353CC}">
              <c16:uniqueId val="{00000000-3A8B-452C-B9F7-97F8E72128B4}"/>
            </c:ext>
          </c:extLst>
        </c:ser>
        <c:dLbls>
          <c:showLegendKey val="0"/>
          <c:showVal val="0"/>
          <c:showCatName val="0"/>
          <c:showSerName val="0"/>
          <c:showPercent val="0"/>
          <c:showBubbleSize val="0"/>
        </c:dLbls>
        <c:gapWidth val="182"/>
        <c:axId val="1530185744"/>
        <c:axId val="1530184656"/>
      </c:barChart>
      <c:catAx>
        <c:axId val="1530185744"/>
        <c:scaling>
          <c:orientation val="minMax"/>
        </c:scaling>
        <c:delete val="0"/>
        <c:axPos val="l"/>
        <c:numFmt formatCode="General" sourceLinked="1"/>
        <c:majorTickMark val="none"/>
        <c:minorTickMark val="none"/>
        <c:tickLblPos val="nextTo"/>
        <c:spPr>
          <a:noFill/>
          <a:ln w="9525" cap="flat" cmpd="sng" algn="ctr">
            <a:solidFill>
              <a:srgbClr val="757171"/>
            </a:solidFill>
            <a:prstDash val="solid"/>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530184656"/>
        <c:crosses val="autoZero"/>
        <c:auto val="1"/>
        <c:lblAlgn val="ctr"/>
        <c:lblOffset val="100"/>
        <c:noMultiLvlLbl val="0"/>
      </c:catAx>
      <c:valAx>
        <c:axId val="15301846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530185744"/>
        <c:crosses val="autoZero"/>
        <c:crossBetween val="between"/>
      </c:valAx>
      <c:spPr>
        <a:noFill/>
        <a:ln>
          <a:noFill/>
        </a:ln>
        <a:effectLst/>
      </c:spPr>
    </c:plotArea>
    <c:plotVisOnly val="1"/>
    <c:dispBlanksAs val="gap"/>
    <c:showDLblsOverMax val="0"/>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[Tender master data _dashboard (1) (1).xlsm]Sheet7!PivotTable6</c:name>
    <c:fmtId val="7"/>
  </c:pivotSource>
  <c:chart>
    <c:autoTitleDeleted val="1"/>
    <c:pivotFmts>
      <c:pivotFmt>
        <c:idx val="0"/>
        <c:spPr>
          <a:solidFill>
            <a:schemeClr val="accent6"/>
          </a:solidFill>
          <a:ln>
            <a:noFill/>
          </a:ln>
          <a:effectLst/>
        </c:spPr>
      </c:pivotFmt>
      <c:pivotFmt>
        <c:idx val="1"/>
        <c:spPr>
          <a:solidFill>
            <a:schemeClr val="accent6"/>
          </a:solidFill>
          <a:ln>
            <a:noFill/>
          </a:ln>
          <a:effectLst/>
        </c:spPr>
      </c:pivotFmt>
      <c:pivotFmt>
        <c:idx val="2"/>
        <c:spPr>
          <a:solidFill>
            <a:schemeClr val="accent6"/>
          </a:solidFill>
          <a:ln>
            <a:noFill/>
          </a:ln>
          <a:effectLst/>
        </c:spPr>
      </c:pivotFmt>
      <c:pivotFmt>
        <c:idx val="3"/>
        <c:spPr>
          <a:solidFill>
            <a:schemeClr val="accent6"/>
          </a:solidFill>
          <a:ln>
            <a:noFill/>
          </a:ln>
          <a:effectLst/>
        </c:spPr>
      </c:pivotFmt>
      <c:pivotFmt>
        <c:idx val="4"/>
        <c:spPr>
          <a:solidFill>
            <a:schemeClr val="accent6"/>
          </a:solidFill>
          <a:ln>
            <a:noFill/>
          </a:ln>
          <a:effectLst/>
        </c:spPr>
      </c:pivotFmt>
      <c:pivotFmt>
        <c:idx val="5"/>
        <c:spPr>
          <a:solidFill>
            <a:schemeClr val="accent6"/>
          </a:solidFill>
          <a:ln>
            <a:noFill/>
          </a:ln>
          <a:effectLst/>
        </c:spPr>
      </c:pivotFmt>
      <c:pivotFmt>
        <c:idx val="6"/>
        <c:spPr>
          <a:solidFill>
            <a:schemeClr val="accent6"/>
          </a:solidFill>
          <a:ln>
            <a:noFill/>
          </a:ln>
          <a:effectLst/>
        </c:spPr>
      </c:pivotFmt>
      <c:pivotFmt>
        <c:idx val="7"/>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6"/>
          </a:solidFill>
          <a:ln>
            <a:noFill/>
          </a:ln>
          <a:effectLst/>
        </c:spPr>
      </c:pivotFmt>
      <c:pivotFmt>
        <c:idx val="9"/>
        <c:spPr>
          <a:solidFill>
            <a:schemeClr val="accent6"/>
          </a:solidFill>
          <a:ln>
            <a:noFill/>
          </a:ln>
          <a:effectLst/>
        </c:spPr>
      </c:pivotFmt>
      <c:pivotFmt>
        <c:idx val="10"/>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chemeClr val="accent6"/>
          </a:solidFill>
          <a:ln>
            <a:noFill/>
          </a:ln>
          <a:effectLst/>
        </c:spPr>
      </c:pivotFmt>
      <c:pivotFmt>
        <c:idx val="12"/>
        <c:spPr>
          <a:solidFill>
            <a:schemeClr val="accent6"/>
          </a:solidFill>
          <a:ln>
            <a:noFill/>
          </a:ln>
          <a:effectLst/>
        </c:spPr>
      </c:pivotFmt>
      <c:pivotFmt>
        <c:idx val="13"/>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4"/>
        <c:spPr>
          <a:solidFill>
            <a:schemeClr val="accent6"/>
          </a:solidFill>
          <a:ln>
            <a:noFill/>
          </a:ln>
          <a:effectLst/>
        </c:spPr>
      </c:pivotFmt>
      <c:pivotFmt>
        <c:idx val="15"/>
        <c:spPr>
          <a:solidFill>
            <a:schemeClr val="accent6"/>
          </a:solidFill>
          <a:ln>
            <a:noFill/>
          </a:ln>
          <a:effectLst/>
        </c:spPr>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7"/>
        <c:spPr>
          <a:solidFill>
            <a:schemeClr val="accent6"/>
          </a:solidFill>
          <a:ln>
            <a:noFill/>
          </a:ln>
          <a:effectLst/>
        </c:spPr>
      </c:pivotFmt>
      <c:pivotFmt>
        <c:idx val="18"/>
        <c:spPr>
          <a:solidFill>
            <a:schemeClr val="accent6"/>
          </a:solidFill>
          <a:ln>
            <a:noFill/>
          </a:ln>
          <a:effectLst/>
        </c:spPr>
      </c:pivotFmt>
    </c:pivotFmts>
    <c:plotArea>
      <c:layout>
        <c:manualLayout>
          <c:layoutTarget val="inner"/>
          <c:xMode val="edge"/>
          <c:yMode val="edge"/>
          <c:x val="0.14689635025653505"/>
          <c:y val="0.18379317347988142"/>
          <c:w val="0.5491646282838224"/>
          <c:h val="0.71446492932944083"/>
        </c:manualLayout>
      </c:layout>
      <c:doughnutChart>
        <c:varyColors val="1"/>
        <c:ser>
          <c:idx val="0"/>
          <c:order val="0"/>
          <c:tx>
            <c:strRef>
              <c:f>Sheet7!$B$30</c:f>
              <c:strCache>
                <c:ptCount val="1"/>
                <c:pt idx="0">
                  <c:v>Total</c:v>
                </c:pt>
              </c:strCache>
            </c:strRef>
          </c:tx>
          <c:dPt>
            <c:idx val="0"/>
            <c:bubble3D val="0"/>
            <c:spPr>
              <a:solidFill>
                <a:schemeClr val="accent6"/>
              </a:solidFill>
              <a:ln>
                <a:noFill/>
              </a:ln>
              <a:effectLst/>
            </c:spPr>
            <c:extLst>
              <c:ext xmlns:c16="http://schemas.microsoft.com/office/drawing/2014/chart" uri="{C3380CC4-5D6E-409C-BE32-E72D297353CC}">
                <c16:uniqueId val="{00000007-1E2C-46FD-ABAB-2AA91482CA2A}"/>
              </c:ext>
            </c:extLst>
          </c:dPt>
          <c:dPt>
            <c:idx val="1"/>
            <c:bubble3D val="0"/>
            <c:spPr>
              <a:solidFill>
                <a:schemeClr val="accent5"/>
              </a:solidFill>
              <a:ln>
                <a:noFill/>
              </a:ln>
              <a:effectLst/>
            </c:spPr>
            <c:extLst>
              <c:ext xmlns:c16="http://schemas.microsoft.com/office/drawing/2014/chart" uri="{C3380CC4-5D6E-409C-BE32-E72D297353CC}">
                <c16:uniqueId val="{00000009-1E2C-46FD-ABAB-2AA91482CA2A}"/>
              </c:ext>
            </c:extLst>
          </c:dPt>
          <c:dLbls>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showLegendKey val="0"/>
            <c:showVal val="0"/>
            <c:showCatName val="1"/>
            <c:showSerName val="0"/>
            <c:showPercent val="1"/>
            <c:showBubbleSize val="0"/>
            <c:showLeaderLines val="1"/>
            <c:leaderLines>
              <c:spPr>
                <a:ln w="6350" cap="flat" cmpd="sng" algn="ctr">
                  <a:solidFill>
                    <a:schemeClr val="tx1"/>
                  </a:solidFill>
                  <a:prstDash val="solid"/>
                  <a:round/>
                </a:ln>
                <a:effectLst/>
              </c:spPr>
            </c:leaderLines>
            <c:extLst>
              <c:ext xmlns:c15="http://schemas.microsoft.com/office/drawing/2012/chart" uri="{CE6537A1-D6FC-4f65-9D91-7224C49458BB}"/>
            </c:extLst>
          </c:dLbls>
          <c:cat>
            <c:strRef>
              <c:f>Sheet7!$A$31:$A$33</c:f>
              <c:strCache>
                <c:ptCount val="2"/>
                <c:pt idx="0">
                  <c:v>No</c:v>
                </c:pt>
                <c:pt idx="1">
                  <c:v>Yes</c:v>
                </c:pt>
              </c:strCache>
            </c:strRef>
          </c:cat>
          <c:val>
            <c:numRef>
              <c:f>Sheet7!$B$31:$B$33</c:f>
              <c:numCache>
                <c:formatCode>General</c:formatCode>
                <c:ptCount val="2"/>
                <c:pt idx="0">
                  <c:v>26</c:v>
                </c:pt>
                <c:pt idx="1">
                  <c:v>7</c:v>
                </c:pt>
              </c:numCache>
            </c:numRef>
          </c:val>
          <c:extLst>
            <c:ext xmlns:c16="http://schemas.microsoft.com/office/drawing/2014/chart" uri="{C3380CC4-5D6E-409C-BE32-E72D297353CC}">
              <c16:uniqueId val="{0000000A-1E2C-46FD-ABAB-2AA91482CA2A}"/>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77714734069576563"/>
          <c:y val="0.32920792287798012"/>
          <c:w val="0.15430081327319195"/>
          <c:h val="0.2987745118005240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legend>
    <c:plotVisOnly val="1"/>
    <c:dispBlanksAs val="gap"/>
    <c:showDLblsOverMax val="0"/>
    <c:extLst/>
  </c:chart>
  <c:spPr>
    <a:solidFill>
      <a:schemeClr val="lt1"/>
    </a:solidFill>
    <a:ln w="12700" cap="flat" cmpd="sng" algn="ctr">
      <a:solidFill>
        <a:schemeClr val="accent4"/>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[Tender master data _dashboard (1) (1).xlsm]Sheet4!PivotTable1</c:name>
    <c:fmtId val="11"/>
  </c:pivotSource>
  <c:chart>
    <c:title>
      <c:tx>
        <c:rich>
          <a:bodyPr rot="0" vert="horz"/>
          <a:lstStyle/>
          <a:p>
            <a:pPr>
              <a:defRPr/>
            </a:pPr>
            <a:r>
              <a:rPr lang="en-US"/>
              <a:t> Division of Tenders on basis of Current Status</a:t>
            </a:r>
          </a:p>
        </c:rich>
      </c:tx>
      <c:layout>
        <c:manualLayout>
          <c:xMode val="edge"/>
          <c:yMode val="edge"/>
          <c:x val="9.2206816571494585E-2"/>
          <c:y val="1.8742094517205321E-2"/>
        </c:manualLayout>
      </c:layout>
      <c:overlay val="0"/>
      <c:spPr>
        <a:noFill/>
        <a:ln>
          <a:noFill/>
        </a:ln>
        <a:effectLst/>
      </c:spPr>
    </c:title>
    <c:autoTitleDeleted val="0"/>
    <c:pivotFmts>
      <c:pivotFmt>
        <c:idx val="0"/>
        <c:spPr>
          <a:solidFill>
            <a:schemeClr val="accent1"/>
          </a:solidFill>
          <a:ln>
            <a:noFill/>
          </a:ln>
          <a:effectLst>
            <a:outerShdw blurRad="317500" algn="ctr" rotWithShape="0">
              <a:prstClr val="black">
                <a:alpha val="25000"/>
              </a:prstClr>
            </a:outerShdw>
          </a:effectLst>
        </c:spPr>
        <c:marker>
          <c:spPr>
            <a:solidFill>
              <a:schemeClr val="accent1"/>
            </a:solidFill>
            <a:ln w="9525">
              <a:solidFill>
                <a:schemeClr val="lt1"/>
              </a:solidFill>
            </a:ln>
            <a:effectLst/>
          </c:spPr>
        </c:marker>
        <c:dLbl>
          <c:idx val="0"/>
          <c:dLblPos val="inEnd"/>
          <c:showLegendKey val="0"/>
          <c:showVal val="1"/>
          <c:showCatName val="0"/>
          <c:showSerName val="0"/>
          <c:showPercent val="1"/>
          <c:showBubbleSize val="0"/>
          <c:extLst>
            <c:ext xmlns:c15="http://schemas.microsoft.com/office/drawing/2012/chart" uri="{CE6537A1-D6FC-4f65-9D91-7224C49458BB}"/>
          </c:extLst>
        </c:dLbl>
      </c:pivotFmt>
      <c:pivotFmt>
        <c:idx val="1"/>
        <c:dLbl>
          <c:idx val="0"/>
          <c:layout>
            <c:manualLayout>
              <c:x val="0.14843659430908607"/>
              <c:y val="-0.1169595806947552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4"/>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35"/>
        <c:marker>
          <c:symbol val="none"/>
        </c:marker>
        <c:dLbl>
          <c:idx val="0"/>
          <c:spPr>
            <a:noFill/>
            <a:ln>
              <a:noFill/>
            </a:ln>
            <a:effectLst/>
          </c:spPr>
          <c:txPr>
            <a:bodyPr rot="0" vert="horz"/>
            <a:lstStyle/>
            <a:p>
              <a:pPr>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a:outerShdw blurRad="317500" algn="ctr" rotWithShape="0">
              <a:prstClr val="black">
                <a:alpha val="25000"/>
              </a:prstClr>
            </a:outerShdw>
          </a:effectLst>
        </c:spPr>
        <c:dLbl>
          <c:idx val="0"/>
          <c:spPr>
            <a:noFill/>
            <a:ln>
              <a:noFill/>
            </a:ln>
            <a:effectLst/>
          </c:spPr>
          <c:txPr>
            <a:bodyPr rot="0" vert="horz"/>
            <a:lstStyle/>
            <a:p>
              <a:pPr>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2"/>
          </a:solidFill>
          <a:ln>
            <a:noFill/>
          </a:ln>
          <a:effectLst>
            <a:outerShdw blurRad="317500" algn="ctr" rotWithShape="0">
              <a:prstClr val="black">
                <a:alpha val="25000"/>
              </a:prstClr>
            </a:outerShdw>
          </a:effectLst>
        </c:spPr>
        <c:dLbl>
          <c:idx val="0"/>
          <c:spPr>
            <a:noFill/>
            <a:ln>
              <a:noFill/>
            </a:ln>
            <a:effectLst/>
          </c:spPr>
          <c:txPr>
            <a:bodyPr rot="0" vert="horz"/>
            <a:lstStyle/>
            <a:p>
              <a:pPr>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3"/>
          </a:solidFill>
          <a:ln>
            <a:noFill/>
          </a:ln>
          <a:effectLst>
            <a:outerShdw blurRad="317500" algn="ctr" rotWithShape="0">
              <a:prstClr val="black">
                <a:alpha val="25000"/>
              </a:prstClr>
            </a:outerShdw>
          </a:effectLst>
        </c:spPr>
        <c:dLbl>
          <c:idx val="0"/>
          <c:spPr>
            <a:noFill/>
            <a:ln>
              <a:noFill/>
            </a:ln>
            <a:effectLst/>
          </c:spPr>
          <c:txPr>
            <a:bodyPr rot="0" vert="horz"/>
            <a:lstStyle/>
            <a:p>
              <a:pPr>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pieChart>
        <c:varyColors val="1"/>
        <c:ser>
          <c:idx val="0"/>
          <c:order val="0"/>
          <c:tx>
            <c:strRef>
              <c:f>Sheet4!$B$3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A9D6-427C-8A2B-61BCA3C90207}"/>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A9D6-427C-8A2B-61BCA3C90207}"/>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A9D6-427C-8A2B-61BCA3C90207}"/>
              </c:ext>
            </c:extLst>
          </c:dPt>
          <c:dPt>
            <c:idx val="3"/>
            <c:bubble3D val="0"/>
            <c:extLst>
              <c:ext xmlns:c16="http://schemas.microsoft.com/office/drawing/2014/chart" uri="{C3380CC4-5D6E-409C-BE32-E72D297353CC}">
                <c16:uniqueId val="{00000007-A9D6-427C-8A2B-61BCA3C90207}"/>
              </c:ext>
            </c:extLst>
          </c:dPt>
          <c:dLbls>
            <c:dLbl>
              <c:idx val="0"/>
              <c:dLblPos val="in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9D6-427C-8A2B-61BCA3C90207}"/>
                </c:ext>
              </c:extLst>
            </c:dLbl>
            <c:dLbl>
              <c:idx val="1"/>
              <c:dLblPos val="in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9D6-427C-8A2B-61BCA3C90207}"/>
                </c:ext>
              </c:extLst>
            </c:dLbl>
            <c:dLbl>
              <c:idx val="2"/>
              <c:spPr>
                <a:noFill/>
                <a:ln>
                  <a:noFill/>
                </a:ln>
                <a:effectLst/>
              </c:spPr>
              <c:txPr>
                <a:bodyPr rot="0" vert="horz"/>
                <a:lstStyle/>
                <a:p>
                  <a:pPr>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5-A9D6-427C-8A2B-61BCA3C90207}"/>
                </c:ext>
              </c:extLst>
            </c:dLbl>
            <c:spPr>
              <a:noFill/>
              <a:ln>
                <a:noFill/>
              </a:ln>
              <a:effectLst/>
            </c:spPr>
            <c:txPr>
              <a:bodyPr rot="0" vert="horz"/>
              <a:lstStyle/>
              <a:p>
                <a:pPr>
                  <a:defRPr/>
                </a:pPr>
                <a:endParaRPr lang="en-US"/>
              </a:p>
            </c:txPr>
            <c:dLblPos val="inEnd"/>
            <c:showLegendKey val="0"/>
            <c:showVal val="1"/>
            <c:showCatName val="1"/>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Sheet4!$A$4:$A$7</c:f>
              <c:strCache>
                <c:ptCount val="3"/>
                <c:pt idx="0">
                  <c:v>Active</c:v>
                </c:pt>
                <c:pt idx="1">
                  <c:v>Filed but cancelled by tenderer</c:v>
                </c:pt>
                <c:pt idx="2">
                  <c:v>Inactive</c:v>
                </c:pt>
              </c:strCache>
            </c:strRef>
          </c:cat>
          <c:val>
            <c:numRef>
              <c:f>Sheet4!$B$4:$B$7</c:f>
              <c:numCache>
                <c:formatCode>General</c:formatCode>
                <c:ptCount val="3"/>
                <c:pt idx="0">
                  <c:v>1</c:v>
                </c:pt>
                <c:pt idx="1">
                  <c:v>1</c:v>
                </c:pt>
                <c:pt idx="2">
                  <c:v>42</c:v>
                </c:pt>
              </c:numCache>
            </c:numRef>
          </c:val>
          <c:extLst>
            <c:ext xmlns:c16="http://schemas.microsoft.com/office/drawing/2014/chart" uri="{C3380CC4-5D6E-409C-BE32-E72D297353CC}">
              <c16:uniqueId val="{00000008-A9D6-427C-8A2B-61BCA3C90207}"/>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69869584713319377"/>
          <c:y val="0.34701345141432294"/>
          <c:w val="0.26160182221065836"/>
          <c:h val="0.53537338775468823"/>
        </c:manualLayout>
      </c:layout>
      <c:overlay val="0"/>
      <c:spPr>
        <a:noFill/>
        <a:ln>
          <a:noFill/>
        </a:ln>
        <a:effectLst/>
      </c:spPr>
      <c:txPr>
        <a:bodyPr rot="0" vert="horz"/>
        <a:lstStyle/>
        <a:p>
          <a:pPr>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accent4"/>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[Tender master data _dashboard (1) (1).xlsm]Sheet4!PivotTable23</c:name>
    <c:fmtId val="12"/>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Month Wise Growth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0"/>
          <c:showPercent val="0"/>
          <c:showBubbleSize val="0"/>
          <c:extLst>
            <c:ext xmlns:c15="http://schemas.microsoft.com/office/drawing/2012/chart" uri="{CE6537A1-D6FC-4f65-9D91-7224C49458BB}"/>
          </c:extLst>
        </c:dLbl>
      </c:pivotFmt>
      <c:pivotFmt>
        <c:idx val="6"/>
        <c:dLbl>
          <c:idx val="0"/>
          <c:showLegendKey val="0"/>
          <c:showVal val="1"/>
          <c:showCatName val="0"/>
          <c:showSerName val="0"/>
          <c:showPercent val="0"/>
          <c:showBubbleSize val="0"/>
          <c:extLst>
            <c:ext xmlns:c15="http://schemas.microsoft.com/office/drawing/2012/chart" uri="{CE6537A1-D6FC-4f65-9D91-7224C49458BB}"/>
          </c:extLst>
        </c:dLbl>
      </c:pivotFmt>
      <c:pivotFmt>
        <c:idx val="7"/>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lt1"/>
          </a:solidFill>
          <a:ln w="12700" cap="flat" cmpd="sng" algn="ctr">
            <a:solidFill>
              <a:schemeClr val="accent1"/>
            </a:solidFill>
            <a:prstDash val="solid"/>
            <a:miter lim="800000"/>
          </a:ln>
          <a:effectLst/>
          <a:sp3d contourW="12700">
            <a:contourClr>
              <a:schemeClr val="accent1"/>
            </a:contourClr>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Sheet4!$B$60:$B$61</c:f>
              <c:strCache>
                <c:ptCount val="1"/>
                <c:pt idx="0">
                  <c:v>Active</c:v>
                </c:pt>
              </c:strCache>
            </c:strRef>
          </c:tx>
          <c:spPr>
            <a:solidFill>
              <a:schemeClr val="lt1"/>
            </a:solidFill>
            <a:ln w="12700" cap="flat" cmpd="sng" algn="ctr">
              <a:solidFill>
                <a:schemeClr val="accent1"/>
              </a:solidFill>
              <a:prstDash val="solid"/>
              <a:miter lim="800000"/>
            </a:ln>
            <a:effectLst/>
            <a:sp3d contourW="12700">
              <a:contourClr>
                <a:schemeClr val="accent1"/>
              </a:contourClr>
            </a:sp3d>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Sheet4!$A$62:$A$71</c:f>
              <c:strCache>
                <c:ptCount val="9"/>
                <c:pt idx="0">
                  <c:v>Dec/22</c:v>
                </c:pt>
                <c:pt idx="1">
                  <c:v>Jan/23</c:v>
                </c:pt>
                <c:pt idx="2">
                  <c:v>Nov/22</c:v>
                </c:pt>
                <c:pt idx="3">
                  <c:v>Oct/22</c:v>
                </c:pt>
                <c:pt idx="4">
                  <c:v>Sep/22</c:v>
                </c:pt>
                <c:pt idx="5">
                  <c:v>Feb/23</c:v>
                </c:pt>
                <c:pt idx="6">
                  <c:v>Mar/23</c:v>
                </c:pt>
                <c:pt idx="7">
                  <c:v>Apr/23</c:v>
                </c:pt>
                <c:pt idx="8">
                  <c:v>May/23</c:v>
                </c:pt>
              </c:strCache>
            </c:strRef>
          </c:cat>
          <c:val>
            <c:numRef>
              <c:f>Sheet4!$B$62:$B$71</c:f>
              <c:numCache>
                <c:formatCode>General</c:formatCode>
                <c:ptCount val="9"/>
                <c:pt idx="8">
                  <c:v>1</c:v>
                </c:pt>
              </c:numCache>
            </c:numRef>
          </c:val>
          <c:extLst>
            <c:ext xmlns:c16="http://schemas.microsoft.com/office/drawing/2014/chart" uri="{C3380CC4-5D6E-409C-BE32-E72D297353CC}">
              <c16:uniqueId val="{00000000-02F7-4223-A624-434FD45EC8FD}"/>
            </c:ext>
          </c:extLst>
        </c:ser>
        <c:ser>
          <c:idx val="1"/>
          <c:order val="1"/>
          <c:tx>
            <c:strRef>
              <c:f>Sheet4!$C$60:$C$61</c:f>
              <c:strCache>
                <c:ptCount val="1"/>
                <c:pt idx="0">
                  <c:v>Filed but cancelled by tenderer</c:v>
                </c:pt>
              </c:strCache>
            </c:strRef>
          </c:tx>
          <c:spPr>
            <a:solidFill>
              <a:schemeClr val="accent2"/>
            </a:solidFill>
            <a:ln>
              <a:noFill/>
            </a:ln>
            <a:effectLst/>
            <a:sp3d/>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Sheet4!$A$62:$A$71</c:f>
              <c:strCache>
                <c:ptCount val="9"/>
                <c:pt idx="0">
                  <c:v>Dec/22</c:v>
                </c:pt>
                <c:pt idx="1">
                  <c:v>Jan/23</c:v>
                </c:pt>
                <c:pt idx="2">
                  <c:v>Nov/22</c:v>
                </c:pt>
                <c:pt idx="3">
                  <c:v>Oct/22</c:v>
                </c:pt>
                <c:pt idx="4">
                  <c:v>Sep/22</c:v>
                </c:pt>
                <c:pt idx="5">
                  <c:v>Feb/23</c:v>
                </c:pt>
                <c:pt idx="6">
                  <c:v>Mar/23</c:v>
                </c:pt>
                <c:pt idx="7">
                  <c:v>Apr/23</c:v>
                </c:pt>
                <c:pt idx="8">
                  <c:v>May/23</c:v>
                </c:pt>
              </c:strCache>
            </c:strRef>
          </c:cat>
          <c:val>
            <c:numRef>
              <c:f>Sheet4!$C$62:$C$71</c:f>
              <c:numCache>
                <c:formatCode>General</c:formatCode>
                <c:ptCount val="9"/>
                <c:pt idx="0">
                  <c:v>1</c:v>
                </c:pt>
              </c:numCache>
            </c:numRef>
          </c:val>
          <c:extLst>
            <c:ext xmlns:c16="http://schemas.microsoft.com/office/drawing/2014/chart" uri="{C3380CC4-5D6E-409C-BE32-E72D297353CC}">
              <c16:uniqueId val="{00000001-02F7-4223-A624-434FD45EC8FD}"/>
            </c:ext>
          </c:extLst>
        </c:ser>
        <c:ser>
          <c:idx val="2"/>
          <c:order val="2"/>
          <c:tx>
            <c:strRef>
              <c:f>Sheet4!$D$60:$D$61</c:f>
              <c:strCache>
                <c:ptCount val="1"/>
                <c:pt idx="0">
                  <c:v>Inactive</c:v>
                </c:pt>
              </c:strCache>
            </c:strRef>
          </c:tx>
          <c:spPr>
            <a:solidFill>
              <a:schemeClr val="accent3"/>
            </a:solidFill>
            <a:ln>
              <a:noFill/>
            </a:ln>
            <a:effectLst/>
            <a:sp3d/>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Sheet4!$A$62:$A$71</c:f>
              <c:strCache>
                <c:ptCount val="9"/>
                <c:pt idx="0">
                  <c:v>Dec/22</c:v>
                </c:pt>
                <c:pt idx="1">
                  <c:v>Jan/23</c:v>
                </c:pt>
                <c:pt idx="2">
                  <c:v>Nov/22</c:v>
                </c:pt>
                <c:pt idx="3">
                  <c:v>Oct/22</c:v>
                </c:pt>
                <c:pt idx="4">
                  <c:v>Sep/22</c:v>
                </c:pt>
                <c:pt idx="5">
                  <c:v>Feb/23</c:v>
                </c:pt>
                <c:pt idx="6">
                  <c:v>Mar/23</c:v>
                </c:pt>
                <c:pt idx="7">
                  <c:v>Apr/23</c:v>
                </c:pt>
                <c:pt idx="8">
                  <c:v>May/23</c:v>
                </c:pt>
              </c:strCache>
            </c:strRef>
          </c:cat>
          <c:val>
            <c:numRef>
              <c:f>Sheet4!$D$62:$D$71</c:f>
              <c:numCache>
                <c:formatCode>General</c:formatCode>
                <c:ptCount val="9"/>
                <c:pt idx="0">
                  <c:v>5</c:v>
                </c:pt>
                <c:pt idx="1">
                  <c:v>2</c:v>
                </c:pt>
                <c:pt idx="2">
                  <c:v>6</c:v>
                </c:pt>
                <c:pt idx="3">
                  <c:v>10</c:v>
                </c:pt>
                <c:pt idx="4">
                  <c:v>9</c:v>
                </c:pt>
                <c:pt idx="5">
                  <c:v>5</c:v>
                </c:pt>
                <c:pt idx="6">
                  <c:v>3</c:v>
                </c:pt>
                <c:pt idx="7">
                  <c:v>2</c:v>
                </c:pt>
              </c:numCache>
            </c:numRef>
          </c:val>
          <c:extLst>
            <c:ext xmlns:c16="http://schemas.microsoft.com/office/drawing/2014/chart" uri="{C3380CC4-5D6E-409C-BE32-E72D297353CC}">
              <c16:uniqueId val="{00000002-02F7-4223-A624-434FD45EC8FD}"/>
            </c:ext>
          </c:extLst>
        </c:ser>
        <c:dLbls>
          <c:showLegendKey val="0"/>
          <c:showVal val="1"/>
          <c:showCatName val="0"/>
          <c:showSerName val="0"/>
          <c:showPercent val="0"/>
          <c:showBubbleSize val="0"/>
        </c:dLbls>
        <c:gapWidth val="150"/>
        <c:shape val="box"/>
        <c:axId val="1530174864"/>
        <c:axId val="1530175408"/>
        <c:axId val="0"/>
      </c:bar3DChart>
      <c:catAx>
        <c:axId val="153017486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530175408"/>
        <c:crosses val="autoZero"/>
        <c:auto val="1"/>
        <c:lblAlgn val="ctr"/>
        <c:lblOffset val="100"/>
        <c:noMultiLvlLbl val="0"/>
      </c:catAx>
      <c:valAx>
        <c:axId val="1530175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5301748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[Tender master data _dashboard (1) (1).xlsm]Sheet6!PivotTable1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Sheet6!$B$3:$B$4</c:f>
              <c:strCache>
                <c:ptCount val="1"/>
                <c:pt idx="0">
                  <c:v>Active</c:v>
                </c:pt>
              </c:strCache>
            </c:strRef>
          </c:tx>
          <c:spPr>
            <a:solidFill>
              <a:schemeClr val="accent1"/>
            </a:solidFill>
            <a:ln>
              <a:noFill/>
            </a:ln>
            <a:effectLst/>
          </c:spPr>
          <c:invertIfNegative val="0"/>
          <c:cat>
            <c:strRef>
              <c:f>Sheet6!$A$5:$A$15</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Sheet6!$B$5:$B$15</c:f>
              <c:numCache>
                <c:formatCode>General</c:formatCode>
                <c:ptCount val="10"/>
                <c:pt idx="5">
                  <c:v>1</c:v>
                </c:pt>
              </c:numCache>
            </c:numRef>
          </c:val>
          <c:extLst>
            <c:ext xmlns:c16="http://schemas.microsoft.com/office/drawing/2014/chart" uri="{C3380CC4-5D6E-409C-BE32-E72D297353CC}">
              <c16:uniqueId val="{00000000-38A9-426A-A774-CA5033E3DC91}"/>
            </c:ext>
          </c:extLst>
        </c:ser>
        <c:ser>
          <c:idx val="1"/>
          <c:order val="1"/>
          <c:tx>
            <c:strRef>
              <c:f>Sheet6!$C$3:$C$4</c:f>
              <c:strCache>
                <c:ptCount val="1"/>
                <c:pt idx="0">
                  <c:v>Filed and Refund Received</c:v>
                </c:pt>
              </c:strCache>
            </c:strRef>
          </c:tx>
          <c:spPr>
            <a:solidFill>
              <a:schemeClr val="accent2"/>
            </a:solidFill>
            <a:ln>
              <a:noFill/>
            </a:ln>
            <a:effectLst/>
          </c:spPr>
          <c:invertIfNegative val="0"/>
          <c:cat>
            <c:strRef>
              <c:f>Sheet6!$A$5:$A$15</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Sheet6!$C$5:$C$15</c:f>
              <c:numCache>
                <c:formatCode>General</c:formatCode>
                <c:ptCount val="10"/>
                <c:pt idx="4">
                  <c:v>1</c:v>
                </c:pt>
                <c:pt idx="6">
                  <c:v>1</c:v>
                </c:pt>
              </c:numCache>
            </c:numRef>
          </c:val>
          <c:extLst>
            <c:ext xmlns:c16="http://schemas.microsoft.com/office/drawing/2014/chart" uri="{C3380CC4-5D6E-409C-BE32-E72D297353CC}">
              <c16:uniqueId val="{00000036-3C3D-47D9-8F5A-28FB480931D5}"/>
            </c:ext>
          </c:extLst>
        </c:ser>
        <c:ser>
          <c:idx val="2"/>
          <c:order val="2"/>
          <c:tx>
            <c:strRef>
              <c:f>Sheet6!$D$3:$D$4</c:f>
              <c:strCache>
                <c:ptCount val="1"/>
                <c:pt idx="0">
                  <c:v>Filed and Selected</c:v>
                </c:pt>
              </c:strCache>
            </c:strRef>
          </c:tx>
          <c:spPr>
            <a:solidFill>
              <a:schemeClr val="accent3"/>
            </a:solidFill>
            <a:ln>
              <a:noFill/>
            </a:ln>
            <a:effectLst/>
          </c:spPr>
          <c:invertIfNegative val="0"/>
          <c:cat>
            <c:strRef>
              <c:f>Sheet6!$A$5:$A$15</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Sheet6!$D$5:$D$15</c:f>
              <c:numCache>
                <c:formatCode>General</c:formatCode>
                <c:ptCount val="10"/>
                <c:pt idx="3">
                  <c:v>1</c:v>
                </c:pt>
              </c:numCache>
            </c:numRef>
          </c:val>
          <c:extLst>
            <c:ext xmlns:c16="http://schemas.microsoft.com/office/drawing/2014/chart" uri="{C3380CC4-5D6E-409C-BE32-E72D297353CC}">
              <c16:uniqueId val="{0000003C-3C3D-47D9-8F5A-28FB480931D5}"/>
            </c:ext>
          </c:extLst>
        </c:ser>
        <c:ser>
          <c:idx val="3"/>
          <c:order val="3"/>
          <c:tx>
            <c:strRef>
              <c:f>Sheet6!$E$3:$E$4</c:f>
              <c:strCache>
                <c:ptCount val="1"/>
                <c:pt idx="0">
                  <c:v>Filed but cancelled by tenderer</c:v>
                </c:pt>
              </c:strCache>
            </c:strRef>
          </c:tx>
          <c:spPr>
            <a:solidFill>
              <a:schemeClr val="accent4"/>
            </a:solidFill>
            <a:ln>
              <a:noFill/>
            </a:ln>
            <a:effectLst/>
          </c:spPr>
          <c:invertIfNegative val="0"/>
          <c:cat>
            <c:strRef>
              <c:f>Sheet6!$A$5:$A$15</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Sheet6!$E$5:$E$15</c:f>
              <c:numCache>
                <c:formatCode>General</c:formatCode>
                <c:ptCount val="10"/>
                <c:pt idx="1">
                  <c:v>1</c:v>
                </c:pt>
              </c:numCache>
            </c:numRef>
          </c:val>
          <c:extLst>
            <c:ext xmlns:c16="http://schemas.microsoft.com/office/drawing/2014/chart" uri="{C3380CC4-5D6E-409C-BE32-E72D297353CC}">
              <c16:uniqueId val="{0000003D-3C3D-47D9-8F5A-28FB480931D5}"/>
            </c:ext>
          </c:extLst>
        </c:ser>
        <c:ser>
          <c:idx val="4"/>
          <c:order val="4"/>
          <c:tx>
            <c:strRef>
              <c:f>Sheet6!$F$3:$F$4</c:f>
              <c:strCache>
                <c:ptCount val="1"/>
                <c:pt idx="0">
                  <c:v>Filed, result awaited</c:v>
                </c:pt>
              </c:strCache>
            </c:strRef>
          </c:tx>
          <c:spPr>
            <a:solidFill>
              <a:schemeClr val="accent5"/>
            </a:solidFill>
            <a:ln>
              <a:noFill/>
            </a:ln>
            <a:effectLst/>
          </c:spPr>
          <c:invertIfNegative val="0"/>
          <c:cat>
            <c:strRef>
              <c:f>Sheet6!$A$5:$A$15</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Sheet6!$F$5:$F$15</c:f>
              <c:numCache>
                <c:formatCode>General</c:formatCode>
                <c:ptCount val="10"/>
                <c:pt idx="6">
                  <c:v>1</c:v>
                </c:pt>
              </c:numCache>
            </c:numRef>
          </c:val>
          <c:extLst>
            <c:ext xmlns:c16="http://schemas.microsoft.com/office/drawing/2014/chart" uri="{C3380CC4-5D6E-409C-BE32-E72D297353CC}">
              <c16:uniqueId val="{0000003E-3C3D-47D9-8F5A-28FB480931D5}"/>
            </c:ext>
          </c:extLst>
        </c:ser>
        <c:ser>
          <c:idx val="5"/>
          <c:order val="5"/>
          <c:tx>
            <c:strRef>
              <c:f>Sheet6!$G$3:$G$4</c:f>
              <c:strCache>
                <c:ptCount val="1"/>
                <c:pt idx="0">
                  <c:v>Inactive</c:v>
                </c:pt>
              </c:strCache>
            </c:strRef>
          </c:tx>
          <c:spPr>
            <a:solidFill>
              <a:schemeClr val="accent6"/>
            </a:solidFill>
            <a:ln>
              <a:noFill/>
            </a:ln>
            <a:effectLst/>
          </c:spPr>
          <c:invertIfNegative val="0"/>
          <c:cat>
            <c:strRef>
              <c:f>Sheet6!$A$5:$A$15</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Sheet6!$G$5:$G$15</c:f>
              <c:numCache>
                <c:formatCode>General</c:formatCode>
                <c:ptCount val="10"/>
                <c:pt idx="0">
                  <c:v>2</c:v>
                </c:pt>
                <c:pt idx="1">
                  <c:v>5</c:v>
                </c:pt>
                <c:pt idx="2">
                  <c:v>5</c:v>
                </c:pt>
                <c:pt idx="3">
                  <c:v>2</c:v>
                </c:pt>
                <c:pt idx="4">
                  <c:v>3</c:v>
                </c:pt>
                <c:pt idx="6">
                  <c:v>6</c:v>
                </c:pt>
                <c:pt idx="7">
                  <c:v>10</c:v>
                </c:pt>
                <c:pt idx="8">
                  <c:v>9</c:v>
                </c:pt>
              </c:numCache>
            </c:numRef>
          </c:val>
          <c:extLst>
            <c:ext xmlns:c16="http://schemas.microsoft.com/office/drawing/2014/chart" uri="{C3380CC4-5D6E-409C-BE32-E72D297353CC}">
              <c16:uniqueId val="{0000003F-3C3D-47D9-8F5A-28FB480931D5}"/>
            </c:ext>
          </c:extLst>
        </c:ser>
        <c:ser>
          <c:idx val="6"/>
          <c:order val="6"/>
          <c:tx>
            <c:strRef>
              <c:f>Sheet6!$H$3:$H$4</c:f>
              <c:strCache>
                <c:ptCount val="1"/>
                <c:pt idx="0">
                  <c:v>(blank)</c:v>
                </c:pt>
              </c:strCache>
            </c:strRef>
          </c:tx>
          <c:spPr>
            <a:solidFill>
              <a:schemeClr val="accent1">
                <a:lumMod val="60000"/>
              </a:schemeClr>
            </a:solidFill>
            <a:ln>
              <a:noFill/>
            </a:ln>
            <a:effectLst/>
          </c:spPr>
          <c:invertIfNegative val="0"/>
          <c:cat>
            <c:strRef>
              <c:f>Sheet6!$A$5:$A$15</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Sheet6!$H$5:$H$15</c:f>
              <c:numCache>
                <c:formatCode>General</c:formatCode>
                <c:ptCount val="10"/>
              </c:numCache>
            </c:numRef>
          </c:val>
          <c:extLst>
            <c:ext xmlns:c16="http://schemas.microsoft.com/office/drawing/2014/chart" uri="{C3380CC4-5D6E-409C-BE32-E72D297353CC}">
              <c16:uniqueId val="{00000040-3C3D-47D9-8F5A-28FB480931D5}"/>
            </c:ext>
          </c:extLst>
        </c:ser>
        <c:dLbls>
          <c:showLegendKey val="0"/>
          <c:showVal val="0"/>
          <c:showCatName val="0"/>
          <c:showSerName val="0"/>
          <c:showPercent val="0"/>
          <c:showBubbleSize val="0"/>
        </c:dLbls>
        <c:gapWidth val="150"/>
        <c:overlap val="100"/>
        <c:axId val="1530175952"/>
        <c:axId val="1530179760"/>
      </c:barChart>
      <c:catAx>
        <c:axId val="1530175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0179760"/>
        <c:crosses val="autoZero"/>
        <c:auto val="1"/>
        <c:lblAlgn val="ctr"/>
        <c:lblOffset val="100"/>
        <c:noMultiLvlLbl val="0"/>
      </c:catAx>
      <c:valAx>
        <c:axId val="1530179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01759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[Tender master data _dashboard (1) (1).xlsm]Sheet6!PivotTable2</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Sheet6!$O$8:$O$9</c:f>
              <c:strCache>
                <c:ptCount val="1"/>
                <c:pt idx="0">
                  <c:v>CPPP</c:v>
                </c:pt>
              </c:strCache>
            </c:strRef>
          </c:tx>
          <c:spPr>
            <a:solidFill>
              <a:schemeClr val="accent1"/>
            </a:solidFill>
            <a:ln>
              <a:noFill/>
            </a:ln>
            <a:effectLst/>
          </c:spPr>
          <c:invertIfNegative val="0"/>
          <c:cat>
            <c:strRef>
              <c:f>Sheet6!$N$10:$N$20</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Sheet6!$O$10:$O$20</c:f>
              <c:numCache>
                <c:formatCode>General</c:formatCode>
                <c:ptCount val="10"/>
                <c:pt idx="1">
                  <c:v>1</c:v>
                </c:pt>
              </c:numCache>
            </c:numRef>
          </c:val>
          <c:extLst>
            <c:ext xmlns:c16="http://schemas.microsoft.com/office/drawing/2014/chart" uri="{C3380CC4-5D6E-409C-BE32-E72D297353CC}">
              <c16:uniqueId val="{00000000-CFED-4D13-84A5-0CF26626BCEB}"/>
            </c:ext>
          </c:extLst>
        </c:ser>
        <c:ser>
          <c:idx val="1"/>
          <c:order val="1"/>
          <c:tx>
            <c:strRef>
              <c:f>Sheet6!$P$8:$P$9</c:f>
              <c:strCache>
                <c:ptCount val="1"/>
                <c:pt idx="0">
                  <c:v>eproc Punjab</c:v>
                </c:pt>
              </c:strCache>
            </c:strRef>
          </c:tx>
          <c:spPr>
            <a:solidFill>
              <a:schemeClr val="accent2"/>
            </a:solidFill>
            <a:ln>
              <a:noFill/>
            </a:ln>
            <a:effectLst/>
          </c:spPr>
          <c:invertIfNegative val="0"/>
          <c:cat>
            <c:strRef>
              <c:f>Sheet6!$N$10:$N$20</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Sheet6!$P$10:$P$20</c:f>
              <c:numCache>
                <c:formatCode>General</c:formatCode>
                <c:ptCount val="10"/>
                <c:pt idx="1">
                  <c:v>1</c:v>
                </c:pt>
              </c:numCache>
            </c:numRef>
          </c:val>
          <c:extLst>
            <c:ext xmlns:c16="http://schemas.microsoft.com/office/drawing/2014/chart" uri="{C3380CC4-5D6E-409C-BE32-E72D297353CC}">
              <c16:uniqueId val="{00000058-C410-4E31-946E-56B8CBFB9C50}"/>
            </c:ext>
          </c:extLst>
        </c:ser>
        <c:ser>
          <c:idx val="2"/>
          <c:order val="2"/>
          <c:tx>
            <c:strRef>
              <c:f>Sheet6!$Q$8:$Q$9</c:f>
              <c:strCache>
                <c:ptCount val="1"/>
                <c:pt idx="0">
                  <c:v>GeM</c:v>
                </c:pt>
              </c:strCache>
            </c:strRef>
          </c:tx>
          <c:spPr>
            <a:solidFill>
              <a:schemeClr val="accent3"/>
            </a:solidFill>
            <a:ln>
              <a:noFill/>
            </a:ln>
            <a:effectLst/>
          </c:spPr>
          <c:invertIfNegative val="0"/>
          <c:cat>
            <c:strRef>
              <c:f>Sheet6!$N$10:$N$20</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Sheet6!$Q$10:$Q$20</c:f>
              <c:numCache>
                <c:formatCode>General</c:formatCode>
                <c:ptCount val="10"/>
                <c:pt idx="1">
                  <c:v>1</c:v>
                </c:pt>
              </c:numCache>
            </c:numRef>
          </c:val>
          <c:extLst>
            <c:ext xmlns:c16="http://schemas.microsoft.com/office/drawing/2014/chart" uri="{C3380CC4-5D6E-409C-BE32-E72D297353CC}">
              <c16:uniqueId val="{00000059-C410-4E31-946E-56B8CBFB9C50}"/>
            </c:ext>
          </c:extLst>
        </c:ser>
        <c:ser>
          <c:idx val="3"/>
          <c:order val="3"/>
          <c:tx>
            <c:strRef>
              <c:f>Sheet6!$R$8:$R$9</c:f>
              <c:strCache>
                <c:ptCount val="1"/>
                <c:pt idx="0">
                  <c:v>Haryana Procurement Portal</c:v>
                </c:pt>
              </c:strCache>
            </c:strRef>
          </c:tx>
          <c:spPr>
            <a:solidFill>
              <a:schemeClr val="accent4"/>
            </a:solidFill>
            <a:ln>
              <a:noFill/>
            </a:ln>
            <a:effectLst/>
          </c:spPr>
          <c:invertIfNegative val="0"/>
          <c:cat>
            <c:strRef>
              <c:f>Sheet6!$N$10:$N$20</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Sheet6!$R$10:$R$20</c:f>
              <c:numCache>
                <c:formatCode>General</c:formatCode>
                <c:ptCount val="10"/>
                <c:pt idx="3">
                  <c:v>2</c:v>
                </c:pt>
                <c:pt idx="5">
                  <c:v>1</c:v>
                </c:pt>
              </c:numCache>
            </c:numRef>
          </c:val>
          <c:extLst>
            <c:ext xmlns:c16="http://schemas.microsoft.com/office/drawing/2014/chart" uri="{C3380CC4-5D6E-409C-BE32-E72D297353CC}">
              <c16:uniqueId val="{0000005A-C410-4E31-946E-56B8CBFB9C50}"/>
            </c:ext>
          </c:extLst>
        </c:ser>
        <c:ser>
          <c:idx val="4"/>
          <c:order val="4"/>
          <c:tx>
            <c:strRef>
              <c:f>Sheet6!$S$8:$S$9</c:f>
              <c:strCache>
                <c:ptCount val="1"/>
                <c:pt idx="0">
                  <c:v>HP 
Procurement
 Portal</c:v>
                </c:pt>
              </c:strCache>
            </c:strRef>
          </c:tx>
          <c:spPr>
            <a:solidFill>
              <a:schemeClr val="accent5"/>
            </a:solidFill>
            <a:ln>
              <a:noFill/>
            </a:ln>
            <a:effectLst/>
          </c:spPr>
          <c:invertIfNegative val="0"/>
          <c:cat>
            <c:strRef>
              <c:f>Sheet6!$N$10:$N$20</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Sheet6!$S$10:$S$20</c:f>
              <c:numCache>
                <c:formatCode>General</c:formatCode>
                <c:ptCount val="10"/>
                <c:pt idx="1">
                  <c:v>1</c:v>
                </c:pt>
              </c:numCache>
            </c:numRef>
          </c:val>
          <c:extLst>
            <c:ext xmlns:c16="http://schemas.microsoft.com/office/drawing/2014/chart" uri="{C3380CC4-5D6E-409C-BE32-E72D297353CC}">
              <c16:uniqueId val="{0000005B-C410-4E31-946E-56B8CBFB9C50}"/>
            </c:ext>
          </c:extLst>
        </c:ser>
        <c:ser>
          <c:idx val="5"/>
          <c:order val="5"/>
          <c:tx>
            <c:strRef>
              <c:f>Sheet6!$T$8:$T$9</c:f>
              <c:strCache>
                <c:ptCount val="1"/>
                <c:pt idx="0">
                  <c:v>MP Procurement Portal</c:v>
                </c:pt>
              </c:strCache>
            </c:strRef>
          </c:tx>
          <c:spPr>
            <a:solidFill>
              <a:schemeClr val="accent6"/>
            </a:solidFill>
            <a:ln>
              <a:noFill/>
            </a:ln>
            <a:effectLst/>
          </c:spPr>
          <c:invertIfNegative val="0"/>
          <c:cat>
            <c:strRef>
              <c:f>Sheet6!$N$10:$N$20</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Sheet6!$T$10:$T$20</c:f>
              <c:numCache>
                <c:formatCode>General</c:formatCode>
                <c:ptCount val="10"/>
                <c:pt idx="1">
                  <c:v>2</c:v>
                </c:pt>
                <c:pt idx="2">
                  <c:v>1</c:v>
                </c:pt>
              </c:numCache>
            </c:numRef>
          </c:val>
          <c:extLst>
            <c:ext xmlns:c16="http://schemas.microsoft.com/office/drawing/2014/chart" uri="{C3380CC4-5D6E-409C-BE32-E72D297353CC}">
              <c16:uniqueId val="{00000066-C410-4E31-946E-56B8CBFB9C50}"/>
            </c:ext>
          </c:extLst>
        </c:ser>
        <c:ser>
          <c:idx val="6"/>
          <c:order val="6"/>
          <c:tx>
            <c:strRef>
              <c:f>Sheet6!$U$8:$U$9</c:f>
              <c:strCache>
                <c:ptCount val="1"/>
                <c:pt idx="0">
                  <c:v>Prashank's lead</c:v>
                </c:pt>
              </c:strCache>
            </c:strRef>
          </c:tx>
          <c:spPr>
            <a:solidFill>
              <a:schemeClr val="accent1">
                <a:lumMod val="60000"/>
              </a:schemeClr>
            </a:solidFill>
            <a:ln>
              <a:noFill/>
            </a:ln>
            <a:effectLst/>
          </c:spPr>
          <c:invertIfNegative val="0"/>
          <c:cat>
            <c:strRef>
              <c:f>Sheet6!$N$10:$N$20</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Sheet6!$U$10:$U$20</c:f>
              <c:numCache>
                <c:formatCode>General</c:formatCode>
                <c:ptCount val="10"/>
                <c:pt idx="6">
                  <c:v>1</c:v>
                </c:pt>
              </c:numCache>
            </c:numRef>
          </c:val>
          <c:extLst>
            <c:ext xmlns:c16="http://schemas.microsoft.com/office/drawing/2014/chart" uri="{C3380CC4-5D6E-409C-BE32-E72D297353CC}">
              <c16:uniqueId val="{00000067-C410-4E31-946E-56B8CBFB9C50}"/>
            </c:ext>
          </c:extLst>
        </c:ser>
        <c:ser>
          <c:idx val="7"/>
          <c:order val="7"/>
          <c:tx>
            <c:strRef>
              <c:f>Sheet6!$V$8:$V$9</c:f>
              <c:strCache>
                <c:ptCount val="1"/>
                <c:pt idx="0">
                  <c:v>Punjab Portal</c:v>
                </c:pt>
              </c:strCache>
            </c:strRef>
          </c:tx>
          <c:spPr>
            <a:solidFill>
              <a:schemeClr val="accent2">
                <a:lumMod val="60000"/>
              </a:schemeClr>
            </a:solidFill>
            <a:ln>
              <a:noFill/>
            </a:ln>
            <a:effectLst/>
          </c:spPr>
          <c:invertIfNegative val="0"/>
          <c:cat>
            <c:strRef>
              <c:f>Sheet6!$N$10:$N$20</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Sheet6!$V$10:$V$20</c:f>
              <c:numCache>
                <c:formatCode>General</c:formatCode>
                <c:ptCount val="10"/>
                <c:pt idx="4">
                  <c:v>1</c:v>
                </c:pt>
              </c:numCache>
            </c:numRef>
          </c:val>
          <c:extLst>
            <c:ext xmlns:c16="http://schemas.microsoft.com/office/drawing/2014/chart" uri="{C3380CC4-5D6E-409C-BE32-E72D297353CC}">
              <c16:uniqueId val="{00000068-C410-4E31-946E-56B8CBFB9C50}"/>
            </c:ext>
          </c:extLst>
        </c:ser>
        <c:ser>
          <c:idx val="8"/>
          <c:order val="8"/>
          <c:tx>
            <c:strRef>
              <c:f>Sheet6!$W$8:$W$9</c:f>
              <c:strCache>
                <c:ptCount val="1"/>
                <c:pt idx="0">
                  <c:v>Rajasthan Procurement</c:v>
                </c:pt>
              </c:strCache>
            </c:strRef>
          </c:tx>
          <c:spPr>
            <a:solidFill>
              <a:schemeClr val="accent3">
                <a:lumMod val="60000"/>
              </a:schemeClr>
            </a:solidFill>
            <a:ln>
              <a:noFill/>
            </a:ln>
            <a:effectLst/>
          </c:spPr>
          <c:invertIfNegative val="0"/>
          <c:cat>
            <c:strRef>
              <c:f>Sheet6!$N$10:$N$20</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Sheet6!$W$10:$W$20</c:f>
              <c:numCache>
                <c:formatCode>General</c:formatCode>
                <c:ptCount val="10"/>
                <c:pt idx="4">
                  <c:v>1</c:v>
                </c:pt>
              </c:numCache>
            </c:numRef>
          </c:val>
          <c:extLst>
            <c:ext xmlns:c16="http://schemas.microsoft.com/office/drawing/2014/chart" uri="{C3380CC4-5D6E-409C-BE32-E72D297353CC}">
              <c16:uniqueId val="{00000069-C410-4E31-946E-56B8CBFB9C50}"/>
            </c:ext>
          </c:extLst>
        </c:ser>
        <c:ser>
          <c:idx val="9"/>
          <c:order val="9"/>
          <c:tx>
            <c:strRef>
              <c:f>Sheet6!$X$8:$X$9</c:f>
              <c:strCache>
                <c:ptCount val="1"/>
                <c:pt idx="0">
                  <c:v>Tender Tiger</c:v>
                </c:pt>
              </c:strCache>
            </c:strRef>
          </c:tx>
          <c:spPr>
            <a:solidFill>
              <a:schemeClr val="accent4">
                <a:lumMod val="60000"/>
              </a:schemeClr>
            </a:solidFill>
            <a:ln>
              <a:noFill/>
            </a:ln>
            <a:effectLst/>
          </c:spPr>
          <c:invertIfNegative val="0"/>
          <c:cat>
            <c:strRef>
              <c:f>Sheet6!$N$10:$N$20</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Sheet6!$X$10:$X$20</c:f>
              <c:numCache>
                <c:formatCode>General</c:formatCode>
                <c:ptCount val="10"/>
                <c:pt idx="0">
                  <c:v>2</c:v>
                </c:pt>
                <c:pt idx="2">
                  <c:v>3</c:v>
                </c:pt>
                <c:pt idx="3">
                  <c:v>1</c:v>
                </c:pt>
                <c:pt idx="4">
                  <c:v>2</c:v>
                </c:pt>
                <c:pt idx="6">
                  <c:v>7</c:v>
                </c:pt>
                <c:pt idx="7">
                  <c:v>10</c:v>
                </c:pt>
                <c:pt idx="8">
                  <c:v>9</c:v>
                </c:pt>
              </c:numCache>
            </c:numRef>
          </c:val>
          <c:extLst>
            <c:ext xmlns:c16="http://schemas.microsoft.com/office/drawing/2014/chart" uri="{C3380CC4-5D6E-409C-BE32-E72D297353CC}">
              <c16:uniqueId val="{0000006A-C410-4E31-946E-56B8CBFB9C50}"/>
            </c:ext>
          </c:extLst>
        </c:ser>
        <c:ser>
          <c:idx val="10"/>
          <c:order val="10"/>
          <c:tx>
            <c:strRef>
              <c:f>Sheet6!$Y$8:$Y$9</c:f>
              <c:strCache>
                <c:ptCount val="1"/>
                <c:pt idx="0">
                  <c:v>UP Procurement Portal</c:v>
                </c:pt>
              </c:strCache>
            </c:strRef>
          </c:tx>
          <c:spPr>
            <a:solidFill>
              <a:schemeClr val="accent5">
                <a:lumMod val="60000"/>
              </a:schemeClr>
            </a:solidFill>
            <a:ln>
              <a:noFill/>
            </a:ln>
            <a:effectLst/>
          </c:spPr>
          <c:invertIfNegative val="0"/>
          <c:cat>
            <c:strRef>
              <c:f>Sheet6!$N$10:$N$20</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Sheet6!$Y$10:$Y$20</c:f>
              <c:numCache>
                <c:formatCode>General</c:formatCode>
                <c:ptCount val="10"/>
                <c:pt idx="2">
                  <c:v>1</c:v>
                </c:pt>
              </c:numCache>
            </c:numRef>
          </c:val>
          <c:extLst>
            <c:ext xmlns:c16="http://schemas.microsoft.com/office/drawing/2014/chart" uri="{C3380CC4-5D6E-409C-BE32-E72D297353CC}">
              <c16:uniqueId val="{0000006B-C410-4E31-946E-56B8CBFB9C50}"/>
            </c:ext>
          </c:extLst>
        </c:ser>
        <c:ser>
          <c:idx val="11"/>
          <c:order val="11"/>
          <c:tx>
            <c:strRef>
              <c:f>Sheet6!$Z$8:$Z$9</c:f>
              <c:strCache>
                <c:ptCount val="1"/>
                <c:pt idx="0">
                  <c:v>(blank)</c:v>
                </c:pt>
              </c:strCache>
            </c:strRef>
          </c:tx>
          <c:spPr>
            <a:solidFill>
              <a:schemeClr val="accent6">
                <a:lumMod val="60000"/>
              </a:schemeClr>
            </a:solidFill>
            <a:ln>
              <a:noFill/>
            </a:ln>
            <a:effectLst/>
          </c:spPr>
          <c:invertIfNegative val="0"/>
          <c:cat>
            <c:strRef>
              <c:f>Sheet6!$N$10:$N$20</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Sheet6!$Z$10:$Z$20</c:f>
              <c:numCache>
                <c:formatCode>General</c:formatCode>
                <c:ptCount val="10"/>
              </c:numCache>
            </c:numRef>
          </c:val>
          <c:extLst>
            <c:ext xmlns:c16="http://schemas.microsoft.com/office/drawing/2014/chart" uri="{C3380CC4-5D6E-409C-BE32-E72D297353CC}">
              <c16:uniqueId val="{0000006C-C410-4E31-946E-56B8CBFB9C50}"/>
            </c:ext>
          </c:extLst>
        </c:ser>
        <c:dLbls>
          <c:showLegendKey val="0"/>
          <c:showVal val="0"/>
          <c:showCatName val="0"/>
          <c:showSerName val="0"/>
          <c:showPercent val="0"/>
          <c:showBubbleSize val="0"/>
        </c:dLbls>
        <c:gapWidth val="150"/>
        <c:overlap val="100"/>
        <c:axId val="1530176496"/>
        <c:axId val="1530180848"/>
      </c:barChart>
      <c:catAx>
        <c:axId val="15301764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0180848"/>
        <c:crosses val="autoZero"/>
        <c:auto val="1"/>
        <c:lblAlgn val="ctr"/>
        <c:lblOffset val="100"/>
        <c:noMultiLvlLbl val="0"/>
      </c:catAx>
      <c:valAx>
        <c:axId val="15301808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0176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[Tender master data _dashboard (1) (1).xlsm]Sheet6!PivotTable3</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doughnutChart>
        <c:varyColors val="1"/>
        <c:ser>
          <c:idx val="0"/>
          <c:order val="0"/>
          <c:tx>
            <c:strRef>
              <c:f>Sheet6!$AH$13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922-4298-9235-EE43D221716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922-4298-9235-EE43D221716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922-4298-9235-EE43D221716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922-4298-9235-EE43D221716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922-4298-9235-EE43D221716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922-4298-9235-EE43D221716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B922-4298-9235-EE43D221716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B922-4298-9235-EE43D2217161}"/>
              </c:ext>
            </c:extLst>
          </c:dPt>
          <c:cat>
            <c:strRef>
              <c:f>Sheet6!$AG$14:$AG$21</c:f>
              <c:strCache>
                <c:ptCount val="7"/>
                <c:pt idx="0">
                  <c:v>Active</c:v>
                </c:pt>
                <c:pt idx="1">
                  <c:v>Filed and Refund Received</c:v>
                </c:pt>
                <c:pt idx="2">
                  <c:v>Filed and Selected</c:v>
                </c:pt>
                <c:pt idx="3">
                  <c:v>Filed but cancelled by tenderer</c:v>
                </c:pt>
                <c:pt idx="4">
                  <c:v>Filed, result awaited</c:v>
                </c:pt>
                <c:pt idx="5">
                  <c:v>Inactive</c:v>
                </c:pt>
                <c:pt idx="6">
                  <c:v>(blank)</c:v>
                </c:pt>
              </c:strCache>
            </c:strRef>
          </c:cat>
          <c:val>
            <c:numRef>
              <c:f>Sheet6!$AH$14:$AH$21</c:f>
              <c:numCache>
                <c:formatCode>General</c:formatCode>
                <c:ptCount val="7"/>
                <c:pt idx="0">
                  <c:v>1</c:v>
                </c:pt>
                <c:pt idx="1">
                  <c:v>2</c:v>
                </c:pt>
                <c:pt idx="2">
                  <c:v>1</c:v>
                </c:pt>
                <c:pt idx="3">
                  <c:v>1</c:v>
                </c:pt>
                <c:pt idx="4">
                  <c:v>1</c:v>
                </c:pt>
                <c:pt idx="5">
                  <c:v>42</c:v>
                </c:pt>
              </c:numCache>
            </c:numRef>
          </c:val>
          <c:extLst>
            <c:ext xmlns:c16="http://schemas.microsoft.com/office/drawing/2014/chart" uri="{C3380CC4-5D6E-409C-BE32-E72D297353CC}">
              <c16:uniqueId val="{00000010-B922-4298-9235-EE43D2217161}"/>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[Tender master data _dashboard (1) (1).xlsm]Sheet6!PivotTable7</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Sheet6!$AV$8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Sheet6!$AU$9:$AU$28</c:f>
              <c:strCache>
                <c:ptCount val="19"/>
                <c:pt idx="0">
                  <c:v>At least 100 full time ERP professionals</c:v>
                </c:pt>
                <c:pt idx="1">
                  <c:v>CMMI-3</c:v>
                </c:pt>
                <c:pt idx="2">
                  <c:v>Completion certificate required from client</c:v>
                </c:pt>
                <c:pt idx="3">
                  <c:v>Experience in AI/ML based Voicebot or Chatbot implementation</c:v>
                </c:pt>
                <c:pt idx="4">
                  <c:v>Experience in banking services Central / State Govt Organization / PSU / Public Listed Company</c:v>
                </c:pt>
                <c:pt idx="5">
                  <c:v>experience in providing BBPS  BHARAT BILL PAYMENT (BBPS) AND CREDIT
FACILITIES (BNPL) services</c:v>
                </c:pt>
                <c:pt idx="6">
                  <c:v>Experience in providing similar services to Universities</c:v>
                </c:pt>
                <c:pt idx="7">
                  <c:v>Experience in working for Central / State Govt Organization / PSU / Public Listed Company</c:v>
                </c:pt>
                <c:pt idx="8">
                  <c:v>Filed</c:v>
                </c:pt>
                <c:pt idx="9">
                  <c:v>Hardware installation required</c:v>
                </c:pt>
                <c:pt idx="10">
                  <c:v>Local office required</c:v>
                </c:pt>
                <c:pt idx="11">
                  <c:v>No response received for technical feasibility</c:v>
                </c:pt>
                <c:pt idx="12">
                  <c:v>No response received from management</c:v>
                </c:pt>
                <c:pt idx="13">
                  <c:v>Not empanelled under CERT -IN </c:v>
                </c:pt>
                <c:pt idx="14">
                  <c:v>Not experienced in Govt/PSU projects</c:v>
                </c:pt>
                <c:pt idx="15">
                  <c:v>Programmable logic controller</c:v>
                </c:pt>
                <c:pt idx="16">
                  <c:v>We do not work on PHP-Laravel technology</c:v>
                </c:pt>
                <c:pt idx="17">
                  <c:v>Web Intelligence tool procurement/intallation</c:v>
                </c:pt>
                <c:pt idx="18">
                  <c:v>(blank)</c:v>
                </c:pt>
              </c:strCache>
            </c:strRef>
          </c:cat>
          <c:val>
            <c:numRef>
              <c:f>Sheet6!$AV$9:$AV$28</c:f>
              <c:numCache>
                <c:formatCode>General</c:formatCode>
                <c:ptCount val="19"/>
                <c:pt idx="0">
                  <c:v>1</c:v>
                </c:pt>
                <c:pt idx="1">
                  <c:v>6</c:v>
                </c:pt>
                <c:pt idx="2">
                  <c:v>4</c:v>
                </c:pt>
                <c:pt idx="3">
                  <c:v>1</c:v>
                </c:pt>
                <c:pt idx="4">
                  <c:v>1</c:v>
                </c:pt>
                <c:pt idx="5">
                  <c:v>1</c:v>
                </c:pt>
                <c:pt idx="6">
                  <c:v>1</c:v>
                </c:pt>
                <c:pt idx="7">
                  <c:v>11</c:v>
                </c:pt>
                <c:pt idx="8">
                  <c:v>1</c:v>
                </c:pt>
                <c:pt idx="9">
                  <c:v>2</c:v>
                </c:pt>
                <c:pt idx="10">
                  <c:v>3</c:v>
                </c:pt>
                <c:pt idx="11">
                  <c:v>1</c:v>
                </c:pt>
                <c:pt idx="12">
                  <c:v>4</c:v>
                </c:pt>
                <c:pt idx="13">
                  <c:v>1</c:v>
                </c:pt>
                <c:pt idx="14">
                  <c:v>2</c:v>
                </c:pt>
                <c:pt idx="15">
                  <c:v>1</c:v>
                </c:pt>
                <c:pt idx="16">
                  <c:v>1</c:v>
                </c:pt>
                <c:pt idx="17">
                  <c:v>1</c:v>
                </c:pt>
              </c:numCache>
            </c:numRef>
          </c:val>
          <c:extLst>
            <c:ext xmlns:c16="http://schemas.microsoft.com/office/drawing/2014/chart" uri="{C3380CC4-5D6E-409C-BE32-E72D297353CC}">
              <c16:uniqueId val="{00000000-2966-4E37-9501-5A3576A600B0}"/>
            </c:ext>
          </c:extLst>
        </c:ser>
        <c:dLbls>
          <c:dLblPos val="ctr"/>
          <c:showLegendKey val="0"/>
          <c:showVal val="1"/>
          <c:showCatName val="0"/>
          <c:showSerName val="0"/>
          <c:showPercent val="0"/>
          <c:showBubbleSize val="0"/>
        </c:dLbls>
        <c:gapWidth val="150"/>
        <c:overlap val="100"/>
        <c:axId val="1530181392"/>
        <c:axId val="1530186288"/>
      </c:barChart>
      <c:catAx>
        <c:axId val="15301813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0186288"/>
        <c:crosses val="autoZero"/>
        <c:auto val="1"/>
        <c:lblAlgn val="ctr"/>
        <c:lblOffset val="100"/>
        <c:noMultiLvlLbl val="0"/>
      </c:catAx>
      <c:valAx>
        <c:axId val="15301862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01813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[Tender master data _dashboard (1) (1).xlsm]Sheet6!PivotTable2</c:name>
    <c:fmtId val="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sz="2000"/>
              <a:t>Month</a:t>
            </a:r>
            <a:r>
              <a:rPr lang="fr-FR" sz="2000" baseline="0"/>
              <a:t> wise tender  from portals</a:t>
            </a:r>
            <a:endParaRPr lang="fr-FR" sz="2000"/>
          </a:p>
        </c:rich>
      </c:tx>
      <c:layout>
        <c:manualLayout>
          <c:xMode val="edge"/>
          <c:yMode val="edge"/>
          <c:x val="0.15178184072900444"/>
          <c:y val="3.827860798485734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w="9525">
              <a:solidFill>
                <a:schemeClr val="accent5">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Sheet6!$O$8:$O$9</c:f>
              <c:strCache>
                <c:ptCount val="1"/>
                <c:pt idx="0">
                  <c:v>CPPP</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Sheet6!$N$10:$N$20</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Sheet6!$O$10:$O$20</c:f>
              <c:numCache>
                <c:formatCode>General</c:formatCode>
                <c:ptCount val="10"/>
                <c:pt idx="1">
                  <c:v>1</c:v>
                </c:pt>
              </c:numCache>
            </c:numRef>
          </c:val>
          <c:extLst>
            <c:ext xmlns:c16="http://schemas.microsoft.com/office/drawing/2014/chart" uri="{C3380CC4-5D6E-409C-BE32-E72D297353CC}">
              <c16:uniqueId val="{00000000-B185-4634-8774-FCA90E0980F2}"/>
            </c:ext>
          </c:extLst>
        </c:ser>
        <c:ser>
          <c:idx val="1"/>
          <c:order val="1"/>
          <c:tx>
            <c:strRef>
              <c:f>Sheet6!$P$8:$P$9</c:f>
              <c:strCache>
                <c:ptCount val="1"/>
                <c:pt idx="0">
                  <c:v>eproc Punjab</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Sheet6!$N$10:$N$20</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Sheet6!$P$10:$P$20</c:f>
              <c:numCache>
                <c:formatCode>General</c:formatCode>
                <c:ptCount val="10"/>
                <c:pt idx="1">
                  <c:v>1</c:v>
                </c:pt>
              </c:numCache>
            </c:numRef>
          </c:val>
          <c:extLst>
            <c:ext xmlns:c16="http://schemas.microsoft.com/office/drawing/2014/chart" uri="{C3380CC4-5D6E-409C-BE32-E72D297353CC}">
              <c16:uniqueId val="{00000059-6A12-4A59-BF51-D26A80A88610}"/>
            </c:ext>
          </c:extLst>
        </c:ser>
        <c:ser>
          <c:idx val="2"/>
          <c:order val="2"/>
          <c:tx>
            <c:strRef>
              <c:f>Sheet6!$Q$8:$Q$9</c:f>
              <c:strCache>
                <c:ptCount val="1"/>
                <c:pt idx="0">
                  <c:v>GeM</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Sheet6!$N$10:$N$20</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Sheet6!$Q$10:$Q$20</c:f>
              <c:numCache>
                <c:formatCode>General</c:formatCode>
                <c:ptCount val="10"/>
                <c:pt idx="1">
                  <c:v>1</c:v>
                </c:pt>
              </c:numCache>
            </c:numRef>
          </c:val>
          <c:extLst>
            <c:ext xmlns:c16="http://schemas.microsoft.com/office/drawing/2014/chart" uri="{C3380CC4-5D6E-409C-BE32-E72D297353CC}">
              <c16:uniqueId val="{0000005A-6A12-4A59-BF51-D26A80A88610}"/>
            </c:ext>
          </c:extLst>
        </c:ser>
        <c:ser>
          <c:idx val="3"/>
          <c:order val="3"/>
          <c:tx>
            <c:strRef>
              <c:f>Sheet6!$R$8:$R$9</c:f>
              <c:strCache>
                <c:ptCount val="1"/>
                <c:pt idx="0">
                  <c:v>Haryana Procurement Portal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Sheet6!$N$10:$N$20</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Sheet6!$R$10:$R$20</c:f>
              <c:numCache>
                <c:formatCode>General</c:formatCode>
                <c:ptCount val="10"/>
                <c:pt idx="3">
                  <c:v>2</c:v>
                </c:pt>
                <c:pt idx="5">
                  <c:v>1</c:v>
                </c:pt>
              </c:numCache>
            </c:numRef>
          </c:val>
          <c:extLst>
            <c:ext xmlns:c16="http://schemas.microsoft.com/office/drawing/2014/chart" uri="{C3380CC4-5D6E-409C-BE32-E72D297353CC}">
              <c16:uniqueId val="{0000005B-6A12-4A59-BF51-D26A80A88610}"/>
            </c:ext>
          </c:extLst>
        </c:ser>
        <c:ser>
          <c:idx val="4"/>
          <c:order val="4"/>
          <c:tx>
            <c:strRef>
              <c:f>Sheet6!$S$8:$S$9</c:f>
              <c:strCache>
                <c:ptCount val="1"/>
                <c:pt idx="0">
                  <c:v>HP 
Procurement
 Portal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Sheet6!$N$10:$N$20</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Sheet6!$S$10:$S$20</c:f>
              <c:numCache>
                <c:formatCode>General</c:formatCode>
                <c:ptCount val="10"/>
                <c:pt idx="1">
                  <c:v>1</c:v>
                </c:pt>
              </c:numCache>
            </c:numRef>
          </c:val>
          <c:extLst>
            <c:ext xmlns:c16="http://schemas.microsoft.com/office/drawing/2014/chart" uri="{C3380CC4-5D6E-409C-BE32-E72D297353CC}">
              <c16:uniqueId val="{0000005C-6A12-4A59-BF51-D26A80A88610}"/>
            </c:ext>
          </c:extLst>
        </c:ser>
        <c:ser>
          <c:idx val="5"/>
          <c:order val="5"/>
          <c:tx>
            <c:strRef>
              <c:f>Sheet6!$T$8:$T$9</c:f>
              <c:strCache>
                <c:ptCount val="1"/>
                <c:pt idx="0">
                  <c:v>MP Procurement Portal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Sheet6!$N$10:$N$20</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Sheet6!$T$10:$T$20</c:f>
              <c:numCache>
                <c:formatCode>General</c:formatCode>
                <c:ptCount val="10"/>
                <c:pt idx="1">
                  <c:v>2</c:v>
                </c:pt>
                <c:pt idx="2">
                  <c:v>1</c:v>
                </c:pt>
              </c:numCache>
            </c:numRef>
          </c:val>
          <c:extLst>
            <c:ext xmlns:c16="http://schemas.microsoft.com/office/drawing/2014/chart" uri="{C3380CC4-5D6E-409C-BE32-E72D297353CC}">
              <c16:uniqueId val="{00000067-6A12-4A59-BF51-D26A80A88610}"/>
            </c:ext>
          </c:extLst>
        </c:ser>
        <c:ser>
          <c:idx val="6"/>
          <c:order val="6"/>
          <c:tx>
            <c:strRef>
              <c:f>Sheet6!$U$8:$U$9</c:f>
              <c:strCache>
                <c:ptCount val="1"/>
                <c:pt idx="0">
                  <c:v>Prashank's lead</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Sheet6!$N$10:$N$20</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Sheet6!$U$10:$U$20</c:f>
              <c:numCache>
                <c:formatCode>General</c:formatCode>
                <c:ptCount val="10"/>
                <c:pt idx="6">
                  <c:v>1</c:v>
                </c:pt>
              </c:numCache>
            </c:numRef>
          </c:val>
          <c:extLst>
            <c:ext xmlns:c16="http://schemas.microsoft.com/office/drawing/2014/chart" uri="{C3380CC4-5D6E-409C-BE32-E72D297353CC}">
              <c16:uniqueId val="{00000068-6A12-4A59-BF51-D26A80A88610}"/>
            </c:ext>
          </c:extLst>
        </c:ser>
        <c:ser>
          <c:idx val="7"/>
          <c:order val="7"/>
          <c:tx>
            <c:strRef>
              <c:f>Sheet6!$V$8:$V$9</c:f>
              <c:strCache>
                <c:ptCount val="1"/>
                <c:pt idx="0">
                  <c:v>Punjab Portal</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Sheet6!$N$10:$N$20</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Sheet6!$V$10:$V$20</c:f>
              <c:numCache>
                <c:formatCode>General</c:formatCode>
                <c:ptCount val="10"/>
                <c:pt idx="4">
                  <c:v>1</c:v>
                </c:pt>
              </c:numCache>
            </c:numRef>
          </c:val>
          <c:extLst>
            <c:ext xmlns:c16="http://schemas.microsoft.com/office/drawing/2014/chart" uri="{C3380CC4-5D6E-409C-BE32-E72D297353CC}">
              <c16:uniqueId val="{00000069-6A12-4A59-BF51-D26A80A88610}"/>
            </c:ext>
          </c:extLst>
        </c:ser>
        <c:ser>
          <c:idx val="8"/>
          <c:order val="8"/>
          <c:tx>
            <c:strRef>
              <c:f>Sheet6!$W$8:$W$9</c:f>
              <c:strCache>
                <c:ptCount val="1"/>
                <c:pt idx="0">
                  <c:v>Rajasthan Procurement</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Sheet6!$N$10:$N$20</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Sheet6!$W$10:$W$20</c:f>
              <c:numCache>
                <c:formatCode>General</c:formatCode>
                <c:ptCount val="10"/>
                <c:pt idx="4">
                  <c:v>1</c:v>
                </c:pt>
              </c:numCache>
            </c:numRef>
          </c:val>
          <c:extLst>
            <c:ext xmlns:c16="http://schemas.microsoft.com/office/drawing/2014/chart" uri="{C3380CC4-5D6E-409C-BE32-E72D297353CC}">
              <c16:uniqueId val="{0000006A-6A12-4A59-BF51-D26A80A88610}"/>
            </c:ext>
          </c:extLst>
        </c:ser>
        <c:ser>
          <c:idx val="9"/>
          <c:order val="9"/>
          <c:tx>
            <c:strRef>
              <c:f>Sheet6!$X$8:$X$9</c:f>
              <c:strCache>
                <c:ptCount val="1"/>
                <c:pt idx="0">
                  <c:v>Tender Tiger</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Sheet6!$N$10:$N$20</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Sheet6!$X$10:$X$20</c:f>
              <c:numCache>
                <c:formatCode>General</c:formatCode>
                <c:ptCount val="10"/>
                <c:pt idx="0">
                  <c:v>2</c:v>
                </c:pt>
                <c:pt idx="2">
                  <c:v>3</c:v>
                </c:pt>
                <c:pt idx="3">
                  <c:v>1</c:v>
                </c:pt>
                <c:pt idx="4">
                  <c:v>2</c:v>
                </c:pt>
                <c:pt idx="6">
                  <c:v>7</c:v>
                </c:pt>
                <c:pt idx="7">
                  <c:v>10</c:v>
                </c:pt>
                <c:pt idx="8">
                  <c:v>9</c:v>
                </c:pt>
              </c:numCache>
            </c:numRef>
          </c:val>
          <c:extLst>
            <c:ext xmlns:c16="http://schemas.microsoft.com/office/drawing/2014/chart" uri="{C3380CC4-5D6E-409C-BE32-E72D297353CC}">
              <c16:uniqueId val="{0000006B-6A12-4A59-BF51-D26A80A88610}"/>
            </c:ext>
          </c:extLst>
        </c:ser>
        <c:ser>
          <c:idx val="10"/>
          <c:order val="10"/>
          <c:tx>
            <c:strRef>
              <c:f>Sheet6!$Y$8:$Y$9</c:f>
              <c:strCache>
                <c:ptCount val="1"/>
                <c:pt idx="0">
                  <c:v>UP Procurement Portal</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Sheet6!$N$10:$N$20</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Sheet6!$Y$10:$Y$20</c:f>
              <c:numCache>
                <c:formatCode>General</c:formatCode>
                <c:ptCount val="10"/>
                <c:pt idx="2">
                  <c:v>1</c:v>
                </c:pt>
              </c:numCache>
            </c:numRef>
          </c:val>
          <c:extLst>
            <c:ext xmlns:c16="http://schemas.microsoft.com/office/drawing/2014/chart" uri="{C3380CC4-5D6E-409C-BE32-E72D297353CC}">
              <c16:uniqueId val="{0000006C-6A12-4A59-BF51-D26A80A88610}"/>
            </c:ext>
          </c:extLst>
        </c:ser>
        <c:ser>
          <c:idx val="11"/>
          <c:order val="11"/>
          <c:tx>
            <c:strRef>
              <c:f>Sheet6!$Z$8:$Z$9</c:f>
              <c:strCache>
                <c:ptCount val="1"/>
                <c:pt idx="0">
                  <c:v>(blank)</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Sheet6!$N$10:$N$20</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Sheet6!$Z$10:$Z$20</c:f>
              <c:numCache>
                <c:formatCode>General</c:formatCode>
                <c:ptCount val="10"/>
              </c:numCache>
            </c:numRef>
          </c:val>
          <c:extLst>
            <c:ext xmlns:c16="http://schemas.microsoft.com/office/drawing/2014/chart" uri="{C3380CC4-5D6E-409C-BE32-E72D297353CC}">
              <c16:uniqueId val="{0000006D-6A12-4A59-BF51-D26A80A88610}"/>
            </c:ext>
          </c:extLst>
        </c:ser>
        <c:dLbls>
          <c:dLblPos val="ctr"/>
          <c:showLegendKey val="0"/>
          <c:showVal val="1"/>
          <c:showCatName val="0"/>
          <c:showSerName val="0"/>
          <c:showPercent val="0"/>
          <c:showBubbleSize val="0"/>
        </c:dLbls>
        <c:gapWidth val="150"/>
        <c:overlap val="100"/>
        <c:axId val="1530184112"/>
        <c:axId val="1530185200"/>
      </c:barChart>
      <c:catAx>
        <c:axId val="1530184112"/>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0185200"/>
        <c:crosses val="autoZero"/>
        <c:auto val="1"/>
        <c:lblAlgn val="ctr"/>
        <c:lblOffset val="100"/>
        <c:noMultiLvlLbl val="0"/>
      </c:catAx>
      <c:valAx>
        <c:axId val="1530185200"/>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0184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[Tender master data _dashboard (1) (1).xlsm]Sheet6!PivotTable3</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marker>
          <c:symbol val="none"/>
        </c:marke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s>
    <c:plotArea>
      <c:layout/>
      <c:doughnutChart>
        <c:varyColors val="1"/>
        <c:ser>
          <c:idx val="0"/>
          <c:order val="0"/>
          <c:tx>
            <c:strRef>
              <c:f>Sheet6!$AH$13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C6A-49ED-9F76-1775352FFB3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C6A-49ED-9F76-1775352FFB3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C6A-49ED-9F76-1775352FFB3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C6A-49ED-9F76-1775352FFB3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C6A-49ED-9F76-1775352FFB3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C6A-49ED-9F76-1775352FFB3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C6A-49ED-9F76-1775352FFB3A}"/>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FC6A-49ED-9F76-1775352FFB3A}"/>
              </c:ext>
            </c:extLst>
          </c:dPt>
          <c:cat>
            <c:strRef>
              <c:f>Sheet6!$AG$14:$AG$21</c:f>
              <c:strCache>
                <c:ptCount val="7"/>
                <c:pt idx="0">
                  <c:v>Active</c:v>
                </c:pt>
                <c:pt idx="1">
                  <c:v>Filed and Refund Received</c:v>
                </c:pt>
                <c:pt idx="2">
                  <c:v>Filed and Selected</c:v>
                </c:pt>
                <c:pt idx="3">
                  <c:v>Filed but cancelled by tenderer</c:v>
                </c:pt>
                <c:pt idx="4">
                  <c:v>Filed, result awaited</c:v>
                </c:pt>
                <c:pt idx="5">
                  <c:v>Inactive</c:v>
                </c:pt>
                <c:pt idx="6">
                  <c:v>(blank)</c:v>
                </c:pt>
              </c:strCache>
            </c:strRef>
          </c:cat>
          <c:val>
            <c:numRef>
              <c:f>Sheet6!$AH$14:$AH$21</c:f>
              <c:numCache>
                <c:formatCode>General</c:formatCode>
                <c:ptCount val="7"/>
                <c:pt idx="0">
                  <c:v>1</c:v>
                </c:pt>
                <c:pt idx="1">
                  <c:v>2</c:v>
                </c:pt>
                <c:pt idx="2">
                  <c:v>1</c:v>
                </c:pt>
                <c:pt idx="3">
                  <c:v>1</c:v>
                </c:pt>
                <c:pt idx="4">
                  <c:v>1</c:v>
                </c:pt>
                <c:pt idx="5">
                  <c:v>42</c:v>
                </c:pt>
              </c:numCache>
            </c:numRef>
          </c:val>
          <c:extLst>
            <c:ext xmlns:c16="http://schemas.microsoft.com/office/drawing/2014/chart" uri="{C3380CC4-5D6E-409C-BE32-E72D297353CC}">
              <c16:uniqueId val="{00000010-FC6A-49ED-9F76-1775352FFB3A}"/>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[Tender master data _dashboard (1) (1).xlsm]Sheet6!PivotTable1</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2800" b="1"/>
              <a:t>Month</a:t>
            </a:r>
            <a:r>
              <a:rPr lang="fr-FR" sz="2800" b="1" baseline="0"/>
              <a:t> wise Growth </a:t>
            </a:r>
            <a:endParaRPr lang="fr-FR" sz="28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Sheet6!$B$3:$B$4</c:f>
              <c:strCache>
                <c:ptCount val="1"/>
                <c:pt idx="0">
                  <c:v>Active</c:v>
                </c:pt>
              </c:strCache>
            </c:strRef>
          </c:tx>
          <c:spPr>
            <a:solidFill>
              <a:schemeClr val="accent1"/>
            </a:solidFill>
            <a:ln>
              <a:noFill/>
            </a:ln>
            <a:effectLst/>
          </c:spPr>
          <c:invertIfNegative val="0"/>
          <c:cat>
            <c:strRef>
              <c:f>Sheet6!$A$5:$A$15</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Sheet6!$B$5:$B$15</c:f>
              <c:numCache>
                <c:formatCode>General</c:formatCode>
                <c:ptCount val="10"/>
                <c:pt idx="5">
                  <c:v>1</c:v>
                </c:pt>
              </c:numCache>
            </c:numRef>
          </c:val>
          <c:extLst>
            <c:ext xmlns:c16="http://schemas.microsoft.com/office/drawing/2014/chart" uri="{C3380CC4-5D6E-409C-BE32-E72D297353CC}">
              <c16:uniqueId val="{00000000-EBA4-4A3F-9623-F4E187503FB9}"/>
            </c:ext>
          </c:extLst>
        </c:ser>
        <c:ser>
          <c:idx val="1"/>
          <c:order val="1"/>
          <c:tx>
            <c:strRef>
              <c:f>Sheet6!$C$3:$C$4</c:f>
              <c:strCache>
                <c:ptCount val="1"/>
                <c:pt idx="0">
                  <c:v>Filed and Refund Received</c:v>
                </c:pt>
              </c:strCache>
            </c:strRef>
          </c:tx>
          <c:spPr>
            <a:solidFill>
              <a:schemeClr val="accent2"/>
            </a:solidFill>
            <a:ln>
              <a:noFill/>
            </a:ln>
            <a:effectLst/>
          </c:spPr>
          <c:invertIfNegative val="0"/>
          <c:cat>
            <c:strRef>
              <c:f>Sheet6!$A$5:$A$15</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Sheet6!$C$5:$C$15</c:f>
              <c:numCache>
                <c:formatCode>General</c:formatCode>
                <c:ptCount val="10"/>
                <c:pt idx="4">
                  <c:v>1</c:v>
                </c:pt>
                <c:pt idx="6">
                  <c:v>1</c:v>
                </c:pt>
              </c:numCache>
            </c:numRef>
          </c:val>
          <c:extLst>
            <c:ext xmlns:c16="http://schemas.microsoft.com/office/drawing/2014/chart" uri="{C3380CC4-5D6E-409C-BE32-E72D297353CC}">
              <c16:uniqueId val="{00000037-FACC-42F9-8C5A-E6CDAD09B187}"/>
            </c:ext>
          </c:extLst>
        </c:ser>
        <c:ser>
          <c:idx val="2"/>
          <c:order val="2"/>
          <c:tx>
            <c:strRef>
              <c:f>Sheet6!$D$3:$D$4</c:f>
              <c:strCache>
                <c:ptCount val="1"/>
                <c:pt idx="0">
                  <c:v>Filed and Selected</c:v>
                </c:pt>
              </c:strCache>
            </c:strRef>
          </c:tx>
          <c:spPr>
            <a:solidFill>
              <a:schemeClr val="accent3"/>
            </a:solidFill>
            <a:ln>
              <a:noFill/>
            </a:ln>
            <a:effectLst/>
          </c:spPr>
          <c:invertIfNegative val="0"/>
          <c:cat>
            <c:strRef>
              <c:f>Sheet6!$A$5:$A$15</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Sheet6!$D$5:$D$15</c:f>
              <c:numCache>
                <c:formatCode>General</c:formatCode>
                <c:ptCount val="10"/>
                <c:pt idx="3">
                  <c:v>1</c:v>
                </c:pt>
              </c:numCache>
            </c:numRef>
          </c:val>
          <c:extLst>
            <c:ext xmlns:c16="http://schemas.microsoft.com/office/drawing/2014/chart" uri="{C3380CC4-5D6E-409C-BE32-E72D297353CC}">
              <c16:uniqueId val="{0000003D-FACC-42F9-8C5A-E6CDAD09B187}"/>
            </c:ext>
          </c:extLst>
        </c:ser>
        <c:ser>
          <c:idx val="3"/>
          <c:order val="3"/>
          <c:tx>
            <c:strRef>
              <c:f>Sheet6!$E$3:$E$4</c:f>
              <c:strCache>
                <c:ptCount val="1"/>
                <c:pt idx="0">
                  <c:v>Filed but cancelled by tenderer</c:v>
                </c:pt>
              </c:strCache>
            </c:strRef>
          </c:tx>
          <c:spPr>
            <a:solidFill>
              <a:schemeClr val="accent4"/>
            </a:solidFill>
            <a:ln>
              <a:noFill/>
            </a:ln>
            <a:effectLst/>
          </c:spPr>
          <c:invertIfNegative val="0"/>
          <c:cat>
            <c:strRef>
              <c:f>Sheet6!$A$5:$A$15</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Sheet6!$E$5:$E$15</c:f>
              <c:numCache>
                <c:formatCode>General</c:formatCode>
                <c:ptCount val="10"/>
                <c:pt idx="1">
                  <c:v>1</c:v>
                </c:pt>
              </c:numCache>
            </c:numRef>
          </c:val>
          <c:extLst>
            <c:ext xmlns:c16="http://schemas.microsoft.com/office/drawing/2014/chart" uri="{C3380CC4-5D6E-409C-BE32-E72D297353CC}">
              <c16:uniqueId val="{0000003E-FACC-42F9-8C5A-E6CDAD09B187}"/>
            </c:ext>
          </c:extLst>
        </c:ser>
        <c:ser>
          <c:idx val="4"/>
          <c:order val="4"/>
          <c:tx>
            <c:strRef>
              <c:f>Sheet6!$F$3:$F$4</c:f>
              <c:strCache>
                <c:ptCount val="1"/>
                <c:pt idx="0">
                  <c:v>Filed, result awaited</c:v>
                </c:pt>
              </c:strCache>
            </c:strRef>
          </c:tx>
          <c:spPr>
            <a:solidFill>
              <a:schemeClr val="accent5"/>
            </a:solidFill>
            <a:ln>
              <a:noFill/>
            </a:ln>
            <a:effectLst/>
          </c:spPr>
          <c:invertIfNegative val="0"/>
          <c:cat>
            <c:strRef>
              <c:f>Sheet6!$A$5:$A$15</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Sheet6!$F$5:$F$15</c:f>
              <c:numCache>
                <c:formatCode>General</c:formatCode>
                <c:ptCount val="10"/>
                <c:pt idx="6">
                  <c:v>1</c:v>
                </c:pt>
              </c:numCache>
            </c:numRef>
          </c:val>
          <c:extLst>
            <c:ext xmlns:c16="http://schemas.microsoft.com/office/drawing/2014/chart" uri="{C3380CC4-5D6E-409C-BE32-E72D297353CC}">
              <c16:uniqueId val="{0000003F-FACC-42F9-8C5A-E6CDAD09B187}"/>
            </c:ext>
          </c:extLst>
        </c:ser>
        <c:ser>
          <c:idx val="5"/>
          <c:order val="5"/>
          <c:tx>
            <c:strRef>
              <c:f>Sheet6!$G$3:$G$4</c:f>
              <c:strCache>
                <c:ptCount val="1"/>
                <c:pt idx="0">
                  <c:v>Inactive</c:v>
                </c:pt>
              </c:strCache>
            </c:strRef>
          </c:tx>
          <c:spPr>
            <a:solidFill>
              <a:schemeClr val="accent6"/>
            </a:solidFill>
            <a:ln>
              <a:noFill/>
            </a:ln>
            <a:effectLst/>
          </c:spPr>
          <c:invertIfNegative val="0"/>
          <c:cat>
            <c:strRef>
              <c:f>Sheet6!$A$5:$A$15</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Sheet6!$G$5:$G$15</c:f>
              <c:numCache>
                <c:formatCode>General</c:formatCode>
                <c:ptCount val="10"/>
                <c:pt idx="0">
                  <c:v>2</c:v>
                </c:pt>
                <c:pt idx="1">
                  <c:v>5</c:v>
                </c:pt>
                <c:pt idx="2">
                  <c:v>5</c:v>
                </c:pt>
                <c:pt idx="3">
                  <c:v>2</c:v>
                </c:pt>
                <c:pt idx="4">
                  <c:v>3</c:v>
                </c:pt>
                <c:pt idx="6">
                  <c:v>6</c:v>
                </c:pt>
                <c:pt idx="7">
                  <c:v>10</c:v>
                </c:pt>
                <c:pt idx="8">
                  <c:v>9</c:v>
                </c:pt>
              </c:numCache>
            </c:numRef>
          </c:val>
          <c:extLst>
            <c:ext xmlns:c16="http://schemas.microsoft.com/office/drawing/2014/chart" uri="{C3380CC4-5D6E-409C-BE32-E72D297353CC}">
              <c16:uniqueId val="{00000040-FACC-42F9-8C5A-E6CDAD09B187}"/>
            </c:ext>
          </c:extLst>
        </c:ser>
        <c:ser>
          <c:idx val="6"/>
          <c:order val="6"/>
          <c:tx>
            <c:strRef>
              <c:f>Sheet6!$H$3:$H$4</c:f>
              <c:strCache>
                <c:ptCount val="1"/>
                <c:pt idx="0">
                  <c:v>(blank)</c:v>
                </c:pt>
              </c:strCache>
            </c:strRef>
          </c:tx>
          <c:spPr>
            <a:solidFill>
              <a:schemeClr val="accent1">
                <a:lumMod val="60000"/>
              </a:schemeClr>
            </a:solidFill>
            <a:ln>
              <a:noFill/>
            </a:ln>
            <a:effectLst/>
          </c:spPr>
          <c:invertIfNegative val="0"/>
          <c:cat>
            <c:strRef>
              <c:f>Sheet6!$A$5:$A$15</c:f>
              <c:strCache>
                <c:ptCount val="10"/>
                <c:pt idx="0">
                  <c:v>Apr/23</c:v>
                </c:pt>
                <c:pt idx="1">
                  <c:v>Dec/22</c:v>
                </c:pt>
                <c:pt idx="2">
                  <c:v>Feb/23</c:v>
                </c:pt>
                <c:pt idx="3">
                  <c:v>Jan/23</c:v>
                </c:pt>
                <c:pt idx="4">
                  <c:v>Mar/23</c:v>
                </c:pt>
                <c:pt idx="5">
                  <c:v>May/23</c:v>
                </c:pt>
                <c:pt idx="6">
                  <c:v>Nov/22</c:v>
                </c:pt>
                <c:pt idx="7">
                  <c:v>Oct/22</c:v>
                </c:pt>
                <c:pt idx="8">
                  <c:v>Sep/22</c:v>
                </c:pt>
                <c:pt idx="9">
                  <c:v>(blank)</c:v>
                </c:pt>
              </c:strCache>
            </c:strRef>
          </c:cat>
          <c:val>
            <c:numRef>
              <c:f>Sheet6!$H$5:$H$15</c:f>
              <c:numCache>
                <c:formatCode>General</c:formatCode>
                <c:ptCount val="10"/>
              </c:numCache>
            </c:numRef>
          </c:val>
          <c:extLst>
            <c:ext xmlns:c16="http://schemas.microsoft.com/office/drawing/2014/chart" uri="{C3380CC4-5D6E-409C-BE32-E72D297353CC}">
              <c16:uniqueId val="{00000041-FACC-42F9-8C5A-E6CDAD09B187}"/>
            </c:ext>
          </c:extLst>
        </c:ser>
        <c:dLbls>
          <c:showLegendKey val="0"/>
          <c:showVal val="0"/>
          <c:showCatName val="0"/>
          <c:showSerName val="0"/>
          <c:showPercent val="0"/>
          <c:showBubbleSize val="0"/>
        </c:dLbls>
        <c:gapWidth val="150"/>
        <c:overlap val="100"/>
        <c:axId val="1530180304"/>
        <c:axId val="1530177584"/>
      </c:barChart>
      <c:catAx>
        <c:axId val="1530180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0177584"/>
        <c:crosses val="autoZero"/>
        <c:auto val="1"/>
        <c:lblAlgn val="ctr"/>
        <c:lblOffset val="100"/>
        <c:noMultiLvlLbl val="0"/>
      </c:catAx>
      <c:valAx>
        <c:axId val="1530177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01803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[Tender master data _dashboard (1) (1).xlsm]Sheet6!PivotTable7</c:name>
    <c:fmtId val="8"/>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800" b="1" i="0" baseline="0">
                <a:effectLst/>
              </a:rPr>
              <a:t>Primary Reason for Disqualification</a:t>
            </a:r>
            <a:endParaRPr lang="fr-FR">
              <a:effectLst/>
            </a:endParaRP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6122988544720916"/>
          <c:y val="4.9025293480595998E-2"/>
          <c:w val="0.38072447189539449"/>
          <c:h val="0.90168869058654899"/>
        </c:manualLayout>
      </c:layout>
      <c:barChart>
        <c:barDir val="bar"/>
        <c:grouping val="stacked"/>
        <c:varyColors val="0"/>
        <c:ser>
          <c:idx val="0"/>
          <c:order val="0"/>
          <c:tx>
            <c:strRef>
              <c:f>Sheet6!$AV$8</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Sheet6!$AU$9:$AU$28</c:f>
              <c:strCache>
                <c:ptCount val="19"/>
                <c:pt idx="0">
                  <c:v>At least 100 full time ERP professionals</c:v>
                </c:pt>
                <c:pt idx="1">
                  <c:v>CMMI-3</c:v>
                </c:pt>
                <c:pt idx="2">
                  <c:v>Completion certificate required from client</c:v>
                </c:pt>
                <c:pt idx="3">
                  <c:v>Experience in AI/ML based Voicebot or Chatbot implementation</c:v>
                </c:pt>
                <c:pt idx="4">
                  <c:v>Experience in banking services Central / State Govt Organization / PSU / Public Listed Company</c:v>
                </c:pt>
                <c:pt idx="5">
                  <c:v>experience in providing BBPS  BHARAT BILL PAYMENT (BBPS) AND CREDIT
FACILITIES (BNPL) services</c:v>
                </c:pt>
                <c:pt idx="6">
                  <c:v>Experience in providing similar services to Universities</c:v>
                </c:pt>
                <c:pt idx="7">
                  <c:v>Experience in working for Central / State Govt Organization / PSU / Public Listed Company</c:v>
                </c:pt>
                <c:pt idx="8">
                  <c:v>Filed</c:v>
                </c:pt>
                <c:pt idx="9">
                  <c:v>Hardware installation required</c:v>
                </c:pt>
                <c:pt idx="10">
                  <c:v>Local office required</c:v>
                </c:pt>
                <c:pt idx="11">
                  <c:v>No response received for technical feasibility</c:v>
                </c:pt>
                <c:pt idx="12">
                  <c:v>No response received from management</c:v>
                </c:pt>
                <c:pt idx="13">
                  <c:v>Not empanelled under CERT -IN </c:v>
                </c:pt>
                <c:pt idx="14">
                  <c:v>Not experienced in Govt/PSU projects</c:v>
                </c:pt>
                <c:pt idx="15">
                  <c:v>Programmable logic controller</c:v>
                </c:pt>
                <c:pt idx="16">
                  <c:v>We do not work on PHP-Laravel technology</c:v>
                </c:pt>
                <c:pt idx="17">
                  <c:v>Web Intelligence tool procurement/intallation</c:v>
                </c:pt>
                <c:pt idx="18">
                  <c:v>(blank)</c:v>
                </c:pt>
              </c:strCache>
            </c:strRef>
          </c:cat>
          <c:val>
            <c:numRef>
              <c:f>Sheet6!$AV$9:$AV$28</c:f>
              <c:numCache>
                <c:formatCode>General</c:formatCode>
                <c:ptCount val="19"/>
                <c:pt idx="0">
                  <c:v>1</c:v>
                </c:pt>
                <c:pt idx="1">
                  <c:v>6</c:v>
                </c:pt>
                <c:pt idx="2">
                  <c:v>4</c:v>
                </c:pt>
                <c:pt idx="3">
                  <c:v>1</c:v>
                </c:pt>
                <c:pt idx="4">
                  <c:v>1</c:v>
                </c:pt>
                <c:pt idx="5">
                  <c:v>1</c:v>
                </c:pt>
                <c:pt idx="6">
                  <c:v>1</c:v>
                </c:pt>
                <c:pt idx="7">
                  <c:v>11</c:v>
                </c:pt>
                <c:pt idx="8">
                  <c:v>1</c:v>
                </c:pt>
                <c:pt idx="9">
                  <c:v>2</c:v>
                </c:pt>
                <c:pt idx="10">
                  <c:v>3</c:v>
                </c:pt>
                <c:pt idx="11">
                  <c:v>1</c:v>
                </c:pt>
                <c:pt idx="12">
                  <c:v>4</c:v>
                </c:pt>
                <c:pt idx="13">
                  <c:v>1</c:v>
                </c:pt>
                <c:pt idx="14">
                  <c:v>2</c:v>
                </c:pt>
                <c:pt idx="15">
                  <c:v>1</c:v>
                </c:pt>
                <c:pt idx="16">
                  <c:v>1</c:v>
                </c:pt>
                <c:pt idx="17">
                  <c:v>1</c:v>
                </c:pt>
              </c:numCache>
            </c:numRef>
          </c:val>
          <c:extLst>
            <c:ext xmlns:c16="http://schemas.microsoft.com/office/drawing/2014/chart" uri="{C3380CC4-5D6E-409C-BE32-E72D297353CC}">
              <c16:uniqueId val="{00000000-0641-47CC-9D44-2A1ED3B1CD03}"/>
            </c:ext>
          </c:extLst>
        </c:ser>
        <c:dLbls>
          <c:dLblPos val="ctr"/>
          <c:showLegendKey val="0"/>
          <c:showVal val="1"/>
          <c:showCatName val="0"/>
          <c:showSerName val="0"/>
          <c:showPercent val="0"/>
          <c:showBubbleSize val="0"/>
        </c:dLbls>
        <c:gapWidth val="150"/>
        <c:overlap val="100"/>
        <c:axId val="1530189552"/>
        <c:axId val="1530182480"/>
      </c:barChart>
      <c:catAx>
        <c:axId val="1530189552"/>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crossAx val="1530182480"/>
        <c:crosses val="autoZero"/>
        <c:auto val="1"/>
        <c:lblAlgn val="ctr"/>
        <c:lblOffset val="100"/>
        <c:noMultiLvlLbl val="0"/>
      </c:catAx>
      <c:valAx>
        <c:axId val="1530182480"/>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01895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[Tender master data _dashboard (1) (1).xlsm]PT Pivot!PivotTable1</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'PT Pivot'!$B$3:$B$4</c:f>
              <c:strCache>
                <c:ptCount val="1"/>
                <c:pt idx="0">
                  <c:v>INR1,00,000</c:v>
                </c:pt>
              </c:strCache>
            </c:strRef>
          </c:tx>
          <c:spPr>
            <a:solidFill>
              <a:schemeClr val="accent1"/>
            </a:solidFill>
            <a:ln>
              <a:noFill/>
            </a:ln>
            <a:effectLst/>
          </c:spPr>
          <c:invertIfNegative val="0"/>
          <c:cat>
            <c:strRef>
              <c:f>'PT Pivot'!$A$5:$A$9</c:f>
              <c:strCache>
                <c:ptCount val="4"/>
                <c:pt idx="0">
                  <c:v>DGR</c:v>
                </c:pt>
                <c:pt idx="1">
                  <c:v>eGovernance</c:v>
                </c:pt>
                <c:pt idx="2">
                  <c:v>HARTRON</c:v>
                </c:pt>
                <c:pt idx="3">
                  <c:v>Punjab Skill</c:v>
                </c:pt>
              </c:strCache>
            </c:strRef>
          </c:cat>
          <c:val>
            <c:numRef>
              <c:f>'PT Pivot'!$B$5:$B$9</c:f>
              <c:numCache>
                <c:formatCode>General</c:formatCode>
                <c:ptCount val="4"/>
                <c:pt idx="0">
                  <c:v>1</c:v>
                </c:pt>
              </c:numCache>
            </c:numRef>
          </c:val>
          <c:extLst>
            <c:ext xmlns:c16="http://schemas.microsoft.com/office/drawing/2014/chart" uri="{C3380CC4-5D6E-409C-BE32-E72D297353CC}">
              <c16:uniqueId val="{00000000-9651-4B10-8259-7438024D5C45}"/>
            </c:ext>
          </c:extLst>
        </c:ser>
        <c:ser>
          <c:idx val="1"/>
          <c:order val="1"/>
          <c:tx>
            <c:strRef>
              <c:f>'PT Pivot'!$C$3:$C$4</c:f>
              <c:strCache>
                <c:ptCount val="1"/>
                <c:pt idx="0">
                  <c:v>INR10,00,000</c:v>
                </c:pt>
              </c:strCache>
            </c:strRef>
          </c:tx>
          <c:spPr>
            <a:solidFill>
              <a:schemeClr val="accent2"/>
            </a:solidFill>
            <a:ln>
              <a:noFill/>
            </a:ln>
            <a:effectLst/>
          </c:spPr>
          <c:invertIfNegative val="0"/>
          <c:cat>
            <c:strRef>
              <c:f>'PT Pivot'!$A$5:$A$9</c:f>
              <c:strCache>
                <c:ptCount val="4"/>
                <c:pt idx="0">
                  <c:v>DGR</c:v>
                </c:pt>
                <c:pt idx="1">
                  <c:v>eGovernance</c:v>
                </c:pt>
                <c:pt idx="2">
                  <c:v>HARTRON</c:v>
                </c:pt>
                <c:pt idx="3">
                  <c:v>Punjab Skill</c:v>
                </c:pt>
              </c:strCache>
            </c:strRef>
          </c:cat>
          <c:val>
            <c:numRef>
              <c:f>'PT Pivot'!$C$5:$C$9</c:f>
              <c:numCache>
                <c:formatCode>General</c:formatCode>
                <c:ptCount val="4"/>
                <c:pt idx="2">
                  <c:v>1</c:v>
                </c:pt>
              </c:numCache>
            </c:numRef>
          </c:val>
          <c:extLst>
            <c:ext xmlns:c16="http://schemas.microsoft.com/office/drawing/2014/chart" uri="{C3380CC4-5D6E-409C-BE32-E72D297353CC}">
              <c16:uniqueId val="{00000025-9651-4B10-8259-7438024D5C45}"/>
            </c:ext>
          </c:extLst>
        </c:ser>
        <c:ser>
          <c:idx val="2"/>
          <c:order val="2"/>
          <c:tx>
            <c:strRef>
              <c:f>'PT Pivot'!$D$3:$D$4</c:f>
              <c:strCache>
                <c:ptCount val="1"/>
                <c:pt idx="0">
                  <c:v>INR2,00,000</c:v>
                </c:pt>
              </c:strCache>
            </c:strRef>
          </c:tx>
          <c:spPr>
            <a:solidFill>
              <a:schemeClr val="accent3"/>
            </a:solidFill>
            <a:ln>
              <a:noFill/>
            </a:ln>
            <a:effectLst/>
          </c:spPr>
          <c:invertIfNegative val="0"/>
          <c:cat>
            <c:strRef>
              <c:f>'PT Pivot'!$A$5:$A$9</c:f>
              <c:strCache>
                <c:ptCount val="4"/>
                <c:pt idx="0">
                  <c:v>DGR</c:v>
                </c:pt>
                <c:pt idx="1">
                  <c:v>eGovernance</c:v>
                </c:pt>
                <c:pt idx="2">
                  <c:v>HARTRON</c:v>
                </c:pt>
                <c:pt idx="3">
                  <c:v>Punjab Skill</c:v>
                </c:pt>
              </c:strCache>
            </c:strRef>
          </c:cat>
          <c:val>
            <c:numRef>
              <c:f>'PT Pivot'!$D$5:$D$9</c:f>
              <c:numCache>
                <c:formatCode>General</c:formatCode>
                <c:ptCount val="4"/>
                <c:pt idx="1">
                  <c:v>1</c:v>
                </c:pt>
              </c:numCache>
            </c:numRef>
          </c:val>
          <c:extLst>
            <c:ext xmlns:c16="http://schemas.microsoft.com/office/drawing/2014/chart" uri="{C3380CC4-5D6E-409C-BE32-E72D297353CC}">
              <c16:uniqueId val="{00000026-9651-4B10-8259-7438024D5C45}"/>
            </c:ext>
          </c:extLst>
        </c:ser>
        <c:ser>
          <c:idx val="3"/>
          <c:order val="3"/>
          <c:tx>
            <c:strRef>
              <c:f>'PT Pivot'!$E$3:$E$4</c:f>
              <c:strCache>
                <c:ptCount val="1"/>
                <c:pt idx="0">
                  <c:v>INR5,00,000</c:v>
                </c:pt>
              </c:strCache>
            </c:strRef>
          </c:tx>
          <c:spPr>
            <a:solidFill>
              <a:schemeClr val="accent4"/>
            </a:solidFill>
            <a:ln>
              <a:noFill/>
            </a:ln>
            <a:effectLst/>
          </c:spPr>
          <c:invertIfNegative val="0"/>
          <c:cat>
            <c:strRef>
              <c:f>'PT Pivot'!$A$5:$A$9</c:f>
              <c:strCache>
                <c:ptCount val="4"/>
                <c:pt idx="0">
                  <c:v>DGR</c:v>
                </c:pt>
                <c:pt idx="1">
                  <c:v>eGovernance</c:v>
                </c:pt>
                <c:pt idx="2">
                  <c:v>HARTRON</c:v>
                </c:pt>
                <c:pt idx="3">
                  <c:v>Punjab Skill</c:v>
                </c:pt>
              </c:strCache>
            </c:strRef>
          </c:cat>
          <c:val>
            <c:numRef>
              <c:f>'PT Pivot'!$E$5:$E$9</c:f>
              <c:numCache>
                <c:formatCode>General</c:formatCode>
                <c:ptCount val="4"/>
                <c:pt idx="3">
                  <c:v>1</c:v>
                </c:pt>
              </c:numCache>
            </c:numRef>
          </c:val>
          <c:extLst>
            <c:ext xmlns:c16="http://schemas.microsoft.com/office/drawing/2014/chart" uri="{C3380CC4-5D6E-409C-BE32-E72D297353CC}">
              <c16:uniqueId val="{00000027-9651-4B10-8259-7438024D5C45}"/>
            </c:ext>
          </c:extLst>
        </c:ser>
        <c:dLbls>
          <c:showLegendKey val="0"/>
          <c:showVal val="0"/>
          <c:showCatName val="0"/>
          <c:showSerName val="0"/>
          <c:showPercent val="0"/>
          <c:showBubbleSize val="0"/>
        </c:dLbls>
        <c:gapWidth val="150"/>
        <c:overlap val="100"/>
        <c:axId val="1530190096"/>
        <c:axId val="1530183024"/>
      </c:barChart>
      <c:catAx>
        <c:axId val="1530190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0183024"/>
        <c:crosses val="autoZero"/>
        <c:auto val="1"/>
        <c:lblAlgn val="ctr"/>
        <c:lblOffset val="100"/>
        <c:noMultiLvlLbl val="0"/>
      </c:catAx>
      <c:valAx>
        <c:axId val="1530183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01900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paperSize="9"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[Tender master data _dashboard (1) (1).xlsm]Sheet7!PivotTable5</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Primary Reason for Disqualification</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Sheet7!$B$3</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Sheet7!$A$4:$A$21</c:f>
              <c:strCache>
                <c:ptCount val="17"/>
                <c:pt idx="0">
                  <c:v>CMMI-3</c:v>
                </c:pt>
                <c:pt idx="1">
                  <c:v>Completion certificate required from client</c:v>
                </c:pt>
                <c:pt idx="2">
                  <c:v>Experience in AI/ML based Voicebot or Chatbot implementation</c:v>
                </c:pt>
                <c:pt idx="3">
                  <c:v>Experience in banking services Central / State Govt Organization / PSU / Public Listed Company</c:v>
                </c:pt>
                <c:pt idx="4">
                  <c:v>experience in providing BBPS  BHARAT BILL PAYMENT (BBPS) AND CREDIT
FACILITIES (BNPL) services</c:v>
                </c:pt>
                <c:pt idx="5">
                  <c:v>Experience in providing similar services to Universities</c:v>
                </c:pt>
                <c:pt idx="6">
                  <c:v>Experience in working for Central / State Govt Organization / PSU / Public Listed Company</c:v>
                </c:pt>
                <c:pt idx="7">
                  <c:v>Filed</c:v>
                </c:pt>
                <c:pt idx="8">
                  <c:v>Hardware installation required</c:v>
                </c:pt>
                <c:pt idx="9">
                  <c:v>Local office required</c:v>
                </c:pt>
                <c:pt idx="10">
                  <c:v>No response received for technical feasibility</c:v>
                </c:pt>
                <c:pt idx="11">
                  <c:v>No response received from management</c:v>
                </c:pt>
                <c:pt idx="12">
                  <c:v>Not empanelled under CERT -IN </c:v>
                </c:pt>
                <c:pt idx="13">
                  <c:v>Not experienced in Govt/PSU projects</c:v>
                </c:pt>
                <c:pt idx="14">
                  <c:v>Programmable logic controller</c:v>
                </c:pt>
                <c:pt idx="15">
                  <c:v>We do not work on PHP-Laravel technology</c:v>
                </c:pt>
                <c:pt idx="16">
                  <c:v>Web Intelligence tool procurement/intallation</c:v>
                </c:pt>
              </c:strCache>
            </c:strRef>
          </c:cat>
          <c:val>
            <c:numRef>
              <c:f>Sheet7!$B$4:$B$21</c:f>
              <c:numCache>
                <c:formatCode>General</c:formatCode>
                <c:ptCount val="17"/>
                <c:pt idx="0">
                  <c:v>6</c:v>
                </c:pt>
                <c:pt idx="1">
                  <c:v>4</c:v>
                </c:pt>
                <c:pt idx="2">
                  <c:v>1</c:v>
                </c:pt>
                <c:pt idx="3">
                  <c:v>1</c:v>
                </c:pt>
                <c:pt idx="4">
                  <c:v>1</c:v>
                </c:pt>
                <c:pt idx="5">
                  <c:v>1</c:v>
                </c:pt>
                <c:pt idx="6">
                  <c:v>11</c:v>
                </c:pt>
                <c:pt idx="7">
                  <c:v>1</c:v>
                </c:pt>
                <c:pt idx="8">
                  <c:v>2</c:v>
                </c:pt>
                <c:pt idx="9">
                  <c:v>3</c:v>
                </c:pt>
                <c:pt idx="10">
                  <c:v>1</c:v>
                </c:pt>
                <c:pt idx="11">
                  <c:v>4</c:v>
                </c:pt>
                <c:pt idx="12">
                  <c:v>1</c:v>
                </c:pt>
                <c:pt idx="13">
                  <c:v>2</c:v>
                </c:pt>
                <c:pt idx="14">
                  <c:v>1</c:v>
                </c:pt>
                <c:pt idx="15">
                  <c:v>1</c:v>
                </c:pt>
                <c:pt idx="16">
                  <c:v>1</c:v>
                </c:pt>
              </c:numCache>
            </c:numRef>
          </c:val>
          <c:extLst>
            <c:ext xmlns:c16="http://schemas.microsoft.com/office/drawing/2014/chart" uri="{C3380CC4-5D6E-409C-BE32-E72D297353CC}">
              <c16:uniqueId val="{00000000-4208-40EB-8582-EA83606E8C72}"/>
            </c:ext>
          </c:extLst>
        </c:ser>
        <c:dLbls>
          <c:dLblPos val="inEnd"/>
          <c:showLegendKey val="0"/>
          <c:showVal val="1"/>
          <c:showCatName val="0"/>
          <c:showSerName val="0"/>
          <c:showPercent val="0"/>
          <c:showBubbleSize val="0"/>
        </c:dLbls>
        <c:gapWidth val="115"/>
        <c:overlap val="-20"/>
        <c:axId val="1530183568"/>
        <c:axId val="1530178128"/>
      </c:barChart>
      <c:catAx>
        <c:axId val="1530183568"/>
        <c:scaling>
          <c:orientation val="minMax"/>
        </c:scaling>
        <c:delete val="0"/>
        <c:axPos val="l"/>
        <c:numFmt formatCode="General" sourceLinked="1"/>
        <c:majorTickMark val="none"/>
        <c:minorTickMark val="none"/>
        <c:tickLblPos val="nextTo"/>
        <c:spPr>
          <a:noFill/>
          <a:ln w="12700" cap="flat" cmpd="sng" algn="ctr">
            <a:noFill/>
            <a:round/>
          </a:ln>
          <a:effectLst/>
        </c:spPr>
        <c:txPr>
          <a:bodyPr rot="-60000000" spcFirstLastPara="1" vertOverflow="ellipsis" vert="horz" wrap="square" anchor="ctr"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1530178128"/>
        <c:crosses val="autoZero"/>
        <c:auto val="1"/>
        <c:lblAlgn val="ctr"/>
        <c:lblOffset val="100"/>
        <c:noMultiLvlLbl val="0"/>
      </c:catAx>
      <c:valAx>
        <c:axId val="15301781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0183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31000">
          <a:schemeClr val="accent3">
            <a:lumMod val="45000"/>
            <a:lumOff val="55000"/>
          </a:schemeClr>
        </a:gs>
        <a:gs pos="46000">
          <a:schemeClr val="accent3">
            <a:lumMod val="45000"/>
            <a:lumOff val="55000"/>
          </a:schemeClr>
        </a:gs>
        <a:gs pos="94000">
          <a:schemeClr val="accent3">
            <a:alpha val="79000"/>
            <a:lumMod val="60000"/>
            <a:lumOff val="40000"/>
          </a:schemeClr>
        </a:gs>
      </a:gsLst>
      <a:path path="circle">
        <a:fillToRect r="100000" b="100000"/>
      </a:path>
      <a:tileRect l="-100000" t="-100000"/>
    </a:gradFill>
    <a:ln w="9525" cap="flat" cmpd="sng" algn="ctr">
      <a:solidFill>
        <a:srgbClr val="F7F5F5"/>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[Tender master data _dashboard (1) (1).xlsm]Sheet7!PivotTable6</c:name>
    <c:fmtId val="0"/>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2"/>
          </a:solidFill>
          <a:ln w="19050">
            <a:solidFill>
              <a:schemeClr val="lt1"/>
            </a:solidFill>
          </a:ln>
          <a:effectLst/>
        </c:spPr>
      </c:pivotFmt>
    </c:pivotFmts>
    <c:plotArea>
      <c:layout/>
      <c:doughnutChart>
        <c:varyColors val="1"/>
        <c:ser>
          <c:idx val="0"/>
          <c:order val="0"/>
          <c:tx>
            <c:strRef>
              <c:f>Sheet7!$B$30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4-0F3D-4C11-BD78-6C062989836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6-0F3D-4C11-BD78-6C0629898362}"/>
              </c:ext>
            </c:extLst>
          </c:dPt>
          <c:dLbls>
            <c:spPr>
              <a:noFill/>
              <a:ln>
                <a:noFill/>
              </a:ln>
              <a:effectLst/>
            </c:spPr>
            <c:txPr>
              <a:bodyPr wrap="square" lIns="38100" tIns="19050" rIns="38100" bIns="19050" anchor="ctr">
                <a:spAutoFit/>
              </a:bodyPr>
              <a:lstStyle/>
              <a:p>
                <a:pPr>
                  <a:defRPr/>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Sheet7!$A$31:$A$33</c:f>
              <c:strCache>
                <c:ptCount val="2"/>
                <c:pt idx="0">
                  <c:v>No</c:v>
                </c:pt>
                <c:pt idx="1">
                  <c:v>Yes</c:v>
                </c:pt>
              </c:strCache>
            </c:strRef>
          </c:cat>
          <c:val>
            <c:numRef>
              <c:f>Sheet7!$B$31:$B$33</c:f>
              <c:numCache>
                <c:formatCode>General</c:formatCode>
                <c:ptCount val="2"/>
                <c:pt idx="0">
                  <c:v>26</c:v>
                </c:pt>
                <c:pt idx="1">
                  <c:v>7</c:v>
                </c:pt>
              </c:numCache>
            </c:numRef>
          </c:val>
          <c:extLst>
            <c:ext xmlns:c16="http://schemas.microsoft.com/office/drawing/2014/chart" uri="{C3380CC4-5D6E-409C-BE32-E72D297353CC}">
              <c16:uniqueId val="{00000007-0F3D-4C11-BD78-6C0629898362}"/>
            </c:ext>
          </c:extLst>
        </c:ser>
        <c:dLbls>
          <c:showLegendKey val="0"/>
          <c:showVal val="1"/>
          <c:showCatName val="0"/>
          <c:showSerName val="0"/>
          <c:showPercent val="0"/>
          <c:showBubbleSize val="0"/>
          <c:showLeaderLines val="1"/>
        </c:dLbls>
        <c:firstSliceAng val="0"/>
        <c:holeSize val="75"/>
      </c:doughnutChart>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path path="rect">
        <a:fillToRect l="100000" t="100000"/>
      </a:path>
      <a:tileRect r="-100000" b="-100000"/>
    </a:gradFill>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[Tender master data _dashboard (1) (1).xlsm]PT Pivot!PivotTable1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'PT Pivot'!$B$3:$B$4</c:f>
              <c:strCache>
                <c:ptCount val="1"/>
                <c:pt idx="0">
                  <c:v>INR1,00,000</c:v>
                </c:pt>
              </c:strCache>
            </c:strRef>
          </c:tx>
          <c:spPr>
            <a:solidFill>
              <a:schemeClr val="accent1"/>
            </a:solidFill>
            <a:ln>
              <a:noFill/>
            </a:ln>
            <a:effectLst/>
          </c:spPr>
          <c:invertIfNegative val="0"/>
          <c:cat>
            <c:strRef>
              <c:f>'PT Pivot'!$A$5:$A$9</c:f>
              <c:strCache>
                <c:ptCount val="4"/>
                <c:pt idx="0">
                  <c:v>DGR</c:v>
                </c:pt>
                <c:pt idx="1">
                  <c:v>eGovernance</c:v>
                </c:pt>
                <c:pt idx="2">
                  <c:v>HARTRON</c:v>
                </c:pt>
                <c:pt idx="3">
                  <c:v>Punjab Skill</c:v>
                </c:pt>
              </c:strCache>
            </c:strRef>
          </c:cat>
          <c:val>
            <c:numRef>
              <c:f>'PT Pivot'!$B$5:$B$9</c:f>
              <c:numCache>
                <c:formatCode>General</c:formatCode>
                <c:ptCount val="4"/>
                <c:pt idx="0">
                  <c:v>1</c:v>
                </c:pt>
              </c:numCache>
            </c:numRef>
          </c:val>
          <c:extLst>
            <c:ext xmlns:c16="http://schemas.microsoft.com/office/drawing/2014/chart" uri="{C3380CC4-5D6E-409C-BE32-E72D297353CC}">
              <c16:uniqueId val="{00000000-9FC8-4B5A-95C9-A44BA6ECCC64}"/>
            </c:ext>
          </c:extLst>
        </c:ser>
        <c:ser>
          <c:idx val="1"/>
          <c:order val="1"/>
          <c:tx>
            <c:strRef>
              <c:f>'PT Pivot'!$C$3:$C$4</c:f>
              <c:strCache>
                <c:ptCount val="1"/>
                <c:pt idx="0">
                  <c:v>INR10,00,000</c:v>
                </c:pt>
              </c:strCache>
            </c:strRef>
          </c:tx>
          <c:spPr>
            <a:solidFill>
              <a:schemeClr val="accent2"/>
            </a:solidFill>
            <a:ln>
              <a:noFill/>
            </a:ln>
            <a:effectLst/>
          </c:spPr>
          <c:invertIfNegative val="0"/>
          <c:cat>
            <c:strRef>
              <c:f>'PT Pivot'!$A$5:$A$9</c:f>
              <c:strCache>
                <c:ptCount val="4"/>
                <c:pt idx="0">
                  <c:v>DGR</c:v>
                </c:pt>
                <c:pt idx="1">
                  <c:v>eGovernance</c:v>
                </c:pt>
                <c:pt idx="2">
                  <c:v>HARTRON</c:v>
                </c:pt>
                <c:pt idx="3">
                  <c:v>Punjab Skill</c:v>
                </c:pt>
              </c:strCache>
            </c:strRef>
          </c:cat>
          <c:val>
            <c:numRef>
              <c:f>'PT Pivot'!$C$5:$C$9</c:f>
              <c:numCache>
                <c:formatCode>General</c:formatCode>
                <c:ptCount val="4"/>
                <c:pt idx="2">
                  <c:v>1</c:v>
                </c:pt>
              </c:numCache>
            </c:numRef>
          </c:val>
          <c:extLst>
            <c:ext xmlns:c16="http://schemas.microsoft.com/office/drawing/2014/chart" uri="{C3380CC4-5D6E-409C-BE32-E72D297353CC}">
              <c16:uniqueId val="{00000024-9FC8-4B5A-95C9-A44BA6ECCC64}"/>
            </c:ext>
          </c:extLst>
        </c:ser>
        <c:ser>
          <c:idx val="2"/>
          <c:order val="2"/>
          <c:tx>
            <c:strRef>
              <c:f>'PT Pivot'!$D$3:$D$4</c:f>
              <c:strCache>
                <c:ptCount val="1"/>
                <c:pt idx="0">
                  <c:v>INR2,00,000</c:v>
                </c:pt>
              </c:strCache>
            </c:strRef>
          </c:tx>
          <c:spPr>
            <a:solidFill>
              <a:schemeClr val="accent3"/>
            </a:solidFill>
            <a:ln>
              <a:noFill/>
            </a:ln>
            <a:effectLst/>
          </c:spPr>
          <c:invertIfNegative val="0"/>
          <c:cat>
            <c:strRef>
              <c:f>'PT Pivot'!$A$5:$A$9</c:f>
              <c:strCache>
                <c:ptCount val="4"/>
                <c:pt idx="0">
                  <c:v>DGR</c:v>
                </c:pt>
                <c:pt idx="1">
                  <c:v>eGovernance</c:v>
                </c:pt>
                <c:pt idx="2">
                  <c:v>HARTRON</c:v>
                </c:pt>
                <c:pt idx="3">
                  <c:v>Punjab Skill</c:v>
                </c:pt>
              </c:strCache>
            </c:strRef>
          </c:cat>
          <c:val>
            <c:numRef>
              <c:f>'PT Pivot'!$D$5:$D$9</c:f>
              <c:numCache>
                <c:formatCode>General</c:formatCode>
                <c:ptCount val="4"/>
                <c:pt idx="1">
                  <c:v>1</c:v>
                </c:pt>
              </c:numCache>
            </c:numRef>
          </c:val>
          <c:extLst>
            <c:ext xmlns:c16="http://schemas.microsoft.com/office/drawing/2014/chart" uri="{C3380CC4-5D6E-409C-BE32-E72D297353CC}">
              <c16:uniqueId val="{00000025-9FC8-4B5A-95C9-A44BA6ECCC64}"/>
            </c:ext>
          </c:extLst>
        </c:ser>
        <c:ser>
          <c:idx val="3"/>
          <c:order val="3"/>
          <c:tx>
            <c:strRef>
              <c:f>'PT Pivot'!$E$3:$E$4</c:f>
              <c:strCache>
                <c:ptCount val="1"/>
                <c:pt idx="0">
                  <c:v>INR5,00,000</c:v>
                </c:pt>
              </c:strCache>
            </c:strRef>
          </c:tx>
          <c:spPr>
            <a:solidFill>
              <a:schemeClr val="accent4"/>
            </a:solidFill>
            <a:ln>
              <a:noFill/>
            </a:ln>
            <a:effectLst/>
          </c:spPr>
          <c:invertIfNegative val="0"/>
          <c:cat>
            <c:strRef>
              <c:f>'PT Pivot'!$A$5:$A$9</c:f>
              <c:strCache>
                <c:ptCount val="4"/>
                <c:pt idx="0">
                  <c:v>DGR</c:v>
                </c:pt>
                <c:pt idx="1">
                  <c:v>eGovernance</c:v>
                </c:pt>
                <c:pt idx="2">
                  <c:v>HARTRON</c:v>
                </c:pt>
                <c:pt idx="3">
                  <c:v>Punjab Skill</c:v>
                </c:pt>
              </c:strCache>
            </c:strRef>
          </c:cat>
          <c:val>
            <c:numRef>
              <c:f>'PT Pivot'!$E$5:$E$9</c:f>
              <c:numCache>
                <c:formatCode>General</c:formatCode>
                <c:ptCount val="4"/>
                <c:pt idx="3">
                  <c:v>1</c:v>
                </c:pt>
              </c:numCache>
            </c:numRef>
          </c:val>
          <c:extLst>
            <c:ext xmlns:c16="http://schemas.microsoft.com/office/drawing/2014/chart" uri="{C3380CC4-5D6E-409C-BE32-E72D297353CC}">
              <c16:uniqueId val="{00000026-9FC8-4B5A-95C9-A44BA6ECCC64}"/>
            </c:ext>
          </c:extLst>
        </c:ser>
        <c:dLbls>
          <c:showLegendKey val="0"/>
          <c:showVal val="0"/>
          <c:showCatName val="0"/>
          <c:showSerName val="0"/>
          <c:showPercent val="0"/>
          <c:showBubbleSize val="0"/>
        </c:dLbls>
        <c:gapWidth val="150"/>
        <c:overlap val="100"/>
        <c:axId val="1396594784"/>
        <c:axId val="1396593152"/>
      </c:barChart>
      <c:catAx>
        <c:axId val="1396594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6593152"/>
        <c:crosses val="autoZero"/>
        <c:auto val="1"/>
        <c:lblAlgn val="ctr"/>
        <c:lblOffset val="100"/>
        <c:noMultiLvlLbl val="0"/>
      </c:catAx>
      <c:valAx>
        <c:axId val="1396593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65947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paperSize="9"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[Tender master data _dashboard (1) (1).xlsm]Sheet5!PivotTable1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ysClr val="windowText" lastClr="000000"/>
                </a:solidFill>
              </a:rPr>
              <a:t>Month Wise Distribution of Source based on the Status</a:t>
            </a:r>
          </a:p>
        </c:rich>
      </c:tx>
      <c:layout>
        <c:manualLayout>
          <c:xMode val="edge"/>
          <c:yMode val="edge"/>
          <c:x val="0.14012404690788507"/>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Sheet5!$D$3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Sheet5!$A$4:$C$38</c:f>
              <c:multiLvlStrCache>
                <c:ptCount val="14"/>
                <c:lvl>
                  <c:pt idx="0">
                    <c:v>Inactive</c:v>
                  </c:pt>
                  <c:pt idx="1">
                    <c:v>Inactive</c:v>
                  </c:pt>
                  <c:pt idx="2">
                    <c:v>Inactive</c:v>
                  </c:pt>
                  <c:pt idx="3">
                    <c:v>Inactive</c:v>
                  </c:pt>
                  <c:pt idx="4">
                    <c:v>Inactive</c:v>
                  </c:pt>
                  <c:pt idx="5">
                    <c:v>Inactive</c:v>
                  </c:pt>
                  <c:pt idx="6">
                    <c:v>Inactive</c:v>
                  </c:pt>
                  <c:pt idx="7">
                    <c:v>Inactive</c:v>
                  </c:pt>
                  <c:pt idx="8">
                    <c:v>Inactive</c:v>
                  </c:pt>
                  <c:pt idx="9">
                    <c:v>Inactive</c:v>
                  </c:pt>
                  <c:pt idx="10">
                    <c:v>Filed but cancelled by tenderer</c:v>
                  </c:pt>
                  <c:pt idx="11">
                    <c:v>Inactive</c:v>
                  </c:pt>
                  <c:pt idx="12">
                    <c:v>Inactive</c:v>
                  </c:pt>
                  <c:pt idx="13">
                    <c:v>Inactive</c:v>
                  </c:pt>
                </c:lvl>
                <c:lvl>
                  <c:pt idx="0">
                    <c:v>Tender Tiger</c:v>
                  </c:pt>
                  <c:pt idx="1">
                    <c:v>Tender Tiger</c:v>
                  </c:pt>
                  <c:pt idx="2">
                    <c:v>Prashank's lead</c:v>
                  </c:pt>
                  <c:pt idx="3">
                    <c:v>Tender Tiger</c:v>
                  </c:pt>
                  <c:pt idx="4">
                    <c:v>Haryana Procurement Portal</c:v>
                  </c:pt>
                  <c:pt idx="5">
                    <c:v>Tender Tiger</c:v>
                  </c:pt>
                  <c:pt idx="6">
                    <c:v>MP Procurement Portal</c:v>
                  </c:pt>
                  <c:pt idx="7">
                    <c:v>Tender Tiger</c:v>
                  </c:pt>
                  <c:pt idx="8">
                    <c:v>UP Procurement Portal</c:v>
                  </c:pt>
                  <c:pt idx="9">
                    <c:v>CPPP</c:v>
                  </c:pt>
                  <c:pt idx="10">
                    <c:v>eproc Punjab</c:v>
                  </c:pt>
                  <c:pt idx="11">
                    <c:v>GeM</c:v>
                  </c:pt>
                  <c:pt idx="12">
                    <c:v>HP 
Procurement
 Portal</c:v>
                  </c:pt>
                  <c:pt idx="13">
                    <c:v>MP Procurement Portal</c:v>
                  </c:pt>
                </c:lvl>
                <c:lvl>
                  <c:pt idx="0">
                    <c:v>Sep/22</c:v>
                  </c:pt>
                  <c:pt idx="1">
                    <c:v>Oct/22</c:v>
                  </c:pt>
                  <c:pt idx="2">
                    <c:v>Nov/22</c:v>
                  </c:pt>
                  <c:pt idx="4">
                    <c:v>Jan/23</c:v>
                  </c:pt>
                  <c:pt idx="6">
                    <c:v>Feb/23</c:v>
                  </c:pt>
                  <c:pt idx="9">
                    <c:v>Dec/22</c:v>
                  </c:pt>
                </c:lvl>
              </c:multiLvlStrCache>
            </c:multiLvlStrRef>
          </c:cat>
          <c:val>
            <c:numRef>
              <c:f>Sheet5!$D$4:$D$38</c:f>
              <c:numCache>
                <c:formatCode>General</c:formatCode>
                <c:ptCount val="14"/>
                <c:pt idx="0">
                  <c:v>9</c:v>
                </c:pt>
                <c:pt idx="1">
                  <c:v>10</c:v>
                </c:pt>
                <c:pt idx="2">
                  <c:v>1</c:v>
                </c:pt>
                <c:pt idx="3">
                  <c:v>5</c:v>
                </c:pt>
                <c:pt idx="4">
                  <c:v>1</c:v>
                </c:pt>
                <c:pt idx="5">
                  <c:v>1</c:v>
                </c:pt>
                <c:pt idx="6">
                  <c:v>1</c:v>
                </c:pt>
                <c:pt idx="7">
                  <c:v>3</c:v>
                </c:pt>
                <c:pt idx="8">
                  <c:v>1</c:v>
                </c:pt>
                <c:pt idx="9">
                  <c:v>1</c:v>
                </c:pt>
                <c:pt idx="10">
                  <c:v>1</c:v>
                </c:pt>
                <c:pt idx="11">
                  <c:v>1</c:v>
                </c:pt>
                <c:pt idx="12">
                  <c:v>1</c:v>
                </c:pt>
                <c:pt idx="13">
                  <c:v>2</c:v>
                </c:pt>
              </c:numCache>
            </c:numRef>
          </c:val>
          <c:extLst>
            <c:ext xmlns:c16="http://schemas.microsoft.com/office/drawing/2014/chart" uri="{C3380CC4-5D6E-409C-BE32-E72D297353CC}">
              <c16:uniqueId val="{00000001-5EBB-43A8-8CBC-029C9879321F}"/>
            </c:ext>
          </c:extLst>
        </c:ser>
        <c:dLbls>
          <c:showLegendKey val="0"/>
          <c:showVal val="0"/>
          <c:showCatName val="0"/>
          <c:showSerName val="0"/>
          <c:showPercent val="0"/>
          <c:showBubbleSize val="0"/>
        </c:dLbls>
        <c:gapWidth val="211"/>
        <c:axId val="1558550192"/>
        <c:axId val="1558546384"/>
      </c:barChart>
      <c:catAx>
        <c:axId val="1558550192"/>
        <c:scaling>
          <c:orientation val="minMax"/>
        </c:scaling>
        <c:delete val="0"/>
        <c:axPos val="l"/>
        <c:numFmt formatCode="General" sourceLinked="1"/>
        <c:majorTickMark val="none"/>
        <c:minorTickMark val="none"/>
        <c:tickLblPos val="nextTo"/>
        <c:spPr>
          <a:noFill/>
          <a:ln w="9525" cap="flat" cmpd="sng" algn="ctr">
            <a:solidFill>
              <a:srgbClr val="AEAAAA"/>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546384"/>
        <c:crosses val="autoZero"/>
        <c:auto val="1"/>
        <c:lblAlgn val="ctr"/>
        <c:lblOffset val="100"/>
        <c:noMultiLvlLbl val="0"/>
      </c:catAx>
      <c:valAx>
        <c:axId val="1558546384"/>
        <c:scaling>
          <c:orientation val="minMax"/>
        </c:scaling>
        <c:delete val="0"/>
        <c:axPos val="b"/>
        <c:majorGridlines>
          <c:spPr>
            <a:ln w="25400" cap="flat" cmpd="sng" algn="ctr">
              <a:noFill/>
              <a:round/>
            </a:ln>
            <a:effectLst/>
          </c:spPr>
        </c:majorGridlines>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solidFill>
              <a:srgbClr val="FFFFFF"/>
            </a:solidFill>
            <a:prstDash val="soli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550192"/>
        <c:crosses val="autoZero"/>
        <c:crossBetween val="between"/>
      </c:valAx>
      <c:spPr>
        <a:noFill/>
        <a:ln>
          <a:noFill/>
        </a:ln>
        <a:effectLst/>
      </c:spPr>
    </c:plotArea>
    <c:plotVisOnly val="1"/>
    <c:dispBlanksAs val="gap"/>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path path="rect">
        <a:fillToRect l="100000" t="100000"/>
      </a:path>
      <a:tileRect r="-100000" b="-100000"/>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[Tender master data _dashboard (1) (1).xlsm]Sheet4!PivotTable1</c:name>
    <c:fmtId val="1"/>
  </c:pivotSource>
  <c:chart>
    <c:title>
      <c:tx>
        <c:rich>
          <a:bodyPr rot="0" spcFirstLastPara="1" vertOverflow="ellipsis" vert="horz" wrap="square" anchor="ctr" anchorCtr="1"/>
          <a:lstStyle/>
          <a:p>
            <a:pPr>
              <a:defRPr sz="1600" b="1" i="0" u="none" strike="noStrike" kern="1200" baseline="0">
                <a:solidFill>
                  <a:schemeClr val="dk1">
                    <a:lumMod val="65000"/>
                    <a:lumOff val="35000"/>
                  </a:schemeClr>
                </a:solidFill>
                <a:latin typeface="+mn-lt"/>
                <a:ea typeface="+mn-ea"/>
                <a:cs typeface="+mn-cs"/>
              </a:defRPr>
            </a:pPr>
            <a:r>
              <a:rPr lang="en-US" sz="1600"/>
              <a:t> Division of Tenders on basis of Current</a:t>
            </a:r>
            <a:r>
              <a:rPr lang="en-US" sz="1600" baseline="0"/>
              <a:t> Status</a:t>
            </a:r>
            <a:endParaRPr lang="en-US" sz="1600"/>
          </a:p>
        </c:rich>
      </c:tx>
      <c:layout>
        <c:manualLayout>
          <c:xMode val="edge"/>
          <c:yMode val="edge"/>
          <c:x val="0.12233237594680317"/>
          <c:y val="5.24723031158493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pPr>
            <a:solidFill>
              <a:schemeClr val="accent1"/>
            </a:solidFill>
            <a:ln w="9525">
              <a:solidFill>
                <a:schemeClr val="lt1"/>
              </a:solidFill>
            </a:ln>
            <a:effectLst/>
          </c:spPr>
        </c:marker>
        <c:dLbl>
          <c:idx val="0"/>
          <c:dLblPos val="inEnd"/>
          <c:showLegendKey val="0"/>
          <c:showVal val="1"/>
          <c:showCatName val="0"/>
          <c:showSerName val="0"/>
          <c:showPercent val="1"/>
          <c:showBubbleSize val="0"/>
          <c:extLst>
            <c:ext xmlns:c15="http://schemas.microsoft.com/office/drawing/2012/chart" uri="{CE6537A1-D6FC-4f65-9D91-7224C49458BB}"/>
          </c:extLst>
        </c:dLbl>
      </c:pivotFmt>
      <c:pivotFmt>
        <c:idx val="1"/>
        <c:dLbl>
          <c:idx val="0"/>
          <c:layout>
            <c:manualLayout>
              <c:x val="0.14843659430908607"/>
              <c:y val="-0.1169595806947552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4"/>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Sheet4!$B$3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8-C8CD-4829-8AB7-F09A4C958718}"/>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A-C8CD-4829-8AB7-F09A4C958718}"/>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C8CD-4829-8AB7-F09A4C958718}"/>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C8CD-4829-8AB7-F09A4C958718}"/>
              </c:ext>
            </c:extLst>
          </c:dPt>
          <c:dLbls>
            <c:dLbl>
              <c:idx val="0"/>
              <c:dLblPos val="in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C8CD-4829-8AB7-F09A4C958718}"/>
                </c:ext>
              </c:extLst>
            </c:dLbl>
            <c:dLbl>
              <c:idx val="1"/>
              <c:dLblPos val="in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C8CD-4829-8AB7-F09A4C958718}"/>
                </c:ext>
              </c:extLst>
            </c:dLbl>
            <c:dLbl>
              <c:idx val="2"/>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6="http://schemas.microsoft.com/office/drawing/2014/chart" uri="{C3380CC4-5D6E-409C-BE32-E72D297353CC}">
                  <c16:uniqueId val="{00000009-C8CD-4829-8AB7-F09A4C958718}"/>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Sheet4!$A$4:$A$7</c:f>
              <c:strCache>
                <c:ptCount val="3"/>
                <c:pt idx="0">
                  <c:v>Active</c:v>
                </c:pt>
                <c:pt idx="1">
                  <c:v>Filed but cancelled by tenderer</c:v>
                </c:pt>
                <c:pt idx="2">
                  <c:v>Inactive</c:v>
                </c:pt>
              </c:strCache>
            </c:strRef>
          </c:cat>
          <c:val>
            <c:numRef>
              <c:f>Sheet4!$B$4:$B$7</c:f>
              <c:numCache>
                <c:formatCode>General</c:formatCode>
                <c:ptCount val="3"/>
                <c:pt idx="0">
                  <c:v>1</c:v>
                </c:pt>
                <c:pt idx="1">
                  <c:v>1</c:v>
                </c:pt>
                <c:pt idx="2">
                  <c:v>42</c:v>
                </c:pt>
              </c:numCache>
            </c:numRef>
          </c:val>
          <c:extLst>
            <c:ext xmlns:c16="http://schemas.microsoft.com/office/drawing/2014/chart" uri="{C3380CC4-5D6E-409C-BE32-E72D297353CC}">
              <c16:uniqueId val="{00000006-C8CD-4829-8AB7-F09A4C958718}"/>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69869584713319377"/>
          <c:y val="0.34701345141432294"/>
          <c:w val="0.26160182221065836"/>
          <c:h val="0.53537338775468823"/>
        </c:manualLayout>
      </c:layout>
      <c:overlay val="0"/>
      <c:spPr>
        <a:noFill/>
        <a:ln>
          <a:noFill/>
        </a:ln>
        <a:effectLst/>
      </c:spPr>
      <c:txPr>
        <a:bodyPr rot="0" spcFirstLastPara="1" vertOverflow="ellipsis" vert="horz" wrap="square" anchor="t" anchorCtr="0"/>
        <a:lstStyle/>
        <a:p>
          <a:pPr>
            <a:defRPr sz="900" b="0" i="0" u="none" strike="noStrike" kern="1200" baseline="0">
              <a:ln>
                <a:noFill/>
              </a:ln>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[Tender master data _dashboard (1) (1).xlsm]Sheet4!PivotTable2</c:name>
    <c:fmtId val="1"/>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IN"/>
              <a:t>Leads source %wise bifurcation</a:t>
            </a:r>
          </a:p>
        </c:rich>
      </c:tx>
      <c:layout>
        <c:manualLayout>
          <c:xMode val="edge"/>
          <c:yMode val="edge"/>
          <c:x val="0.16560411198600175"/>
          <c:y val="9.9810440361621469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outerShdw blurRad="317500" algn="ctr" rotWithShape="0">
              <a:prstClr val="black">
                <a:alpha val="25000"/>
              </a:prstClr>
            </a:outerShdw>
          </a:effectLst>
        </c:spPr>
      </c:pivotFmt>
      <c:pivotFmt>
        <c:idx val="2"/>
        <c:spPr>
          <a:solidFill>
            <a:schemeClr val="accent2"/>
          </a:solidFill>
          <a:ln>
            <a:noFill/>
          </a:ln>
          <a:effectLst>
            <a:outerShdw blurRad="317500" algn="ctr" rotWithShape="0">
              <a:prstClr val="black">
                <a:alpha val="25000"/>
              </a:prstClr>
            </a:outerShdw>
          </a:effectLst>
        </c:spPr>
      </c:pivotFmt>
      <c:pivotFmt>
        <c:idx val="3"/>
        <c:spPr>
          <a:solidFill>
            <a:schemeClr val="accent2"/>
          </a:solidFill>
          <a:ln>
            <a:noFill/>
          </a:ln>
          <a:effectLst>
            <a:outerShdw blurRad="317500" algn="ctr" rotWithShape="0">
              <a:prstClr val="black">
                <a:alpha val="25000"/>
              </a:prstClr>
            </a:outerShdw>
          </a:effectLst>
        </c:spPr>
      </c:pivotFmt>
      <c:pivotFmt>
        <c:idx val="4"/>
        <c:spPr>
          <a:solidFill>
            <a:schemeClr val="accent2"/>
          </a:solidFill>
          <a:ln>
            <a:noFill/>
          </a:ln>
          <a:effectLst>
            <a:outerShdw blurRad="317500" algn="ctr" rotWithShape="0">
              <a:prstClr val="black">
                <a:alpha val="25000"/>
              </a:prstClr>
            </a:outerShdw>
          </a:effectLst>
        </c:spPr>
      </c:pivotFmt>
      <c:pivotFmt>
        <c:idx val="5"/>
        <c:spPr>
          <a:solidFill>
            <a:schemeClr val="accent2"/>
          </a:solidFill>
          <a:ln>
            <a:noFill/>
          </a:ln>
          <a:effectLst>
            <a:outerShdw blurRad="317500" algn="ctr" rotWithShape="0">
              <a:prstClr val="black">
                <a:alpha val="25000"/>
              </a:prstClr>
            </a:outerShdw>
          </a:effectLst>
        </c:spPr>
      </c:pivotFmt>
      <c:pivotFmt>
        <c:idx val="6"/>
        <c:spPr>
          <a:solidFill>
            <a:schemeClr val="accent2"/>
          </a:solidFill>
          <a:ln>
            <a:noFill/>
          </a:ln>
          <a:effectLst>
            <a:outerShdw blurRad="317500" algn="ctr" rotWithShape="0">
              <a:prstClr val="black">
                <a:alpha val="25000"/>
              </a:prstClr>
            </a:outerShdw>
          </a:effectLst>
        </c:spPr>
      </c:pivotFmt>
      <c:pivotFmt>
        <c:idx val="7"/>
        <c:spPr>
          <a:solidFill>
            <a:schemeClr val="accent2"/>
          </a:solidFill>
          <a:ln>
            <a:noFill/>
          </a:ln>
          <a:effectLst>
            <a:outerShdw blurRad="317500" algn="ctr" rotWithShape="0">
              <a:prstClr val="black">
                <a:alpha val="25000"/>
              </a:prstClr>
            </a:outerShdw>
          </a:effectLst>
        </c:spPr>
      </c:pivotFmt>
      <c:pivotFmt>
        <c:idx val="8"/>
        <c:spPr>
          <a:solidFill>
            <a:schemeClr val="accent2"/>
          </a:solidFill>
          <a:ln>
            <a:noFill/>
          </a:ln>
          <a:effectLst>
            <a:outerShdw blurRad="317500" algn="ctr" rotWithShape="0">
              <a:prstClr val="black">
                <a:alpha val="25000"/>
              </a:prstClr>
            </a:outerShdw>
          </a:effectLst>
        </c:spPr>
      </c:pivotFmt>
      <c:pivotFmt>
        <c:idx val="9"/>
        <c:spPr>
          <a:solidFill>
            <a:schemeClr val="accent2"/>
          </a:solidFill>
          <a:ln>
            <a:noFill/>
          </a:ln>
          <a:effectLst>
            <a:outerShdw blurRad="317500" algn="ctr" rotWithShape="0">
              <a:prstClr val="black">
                <a:alpha val="25000"/>
              </a:prstClr>
            </a:outerShdw>
          </a:effectLst>
        </c:spPr>
      </c:pivotFmt>
      <c:pivotFmt>
        <c:idx val="10"/>
        <c:spPr>
          <a:solidFill>
            <a:schemeClr val="accent2"/>
          </a:solidFill>
          <a:ln>
            <a:noFill/>
          </a:ln>
          <a:effectLst>
            <a:outerShdw blurRad="317500" algn="ctr" rotWithShape="0">
              <a:prstClr val="black">
                <a:alpha val="25000"/>
              </a:prstClr>
            </a:outerShdw>
          </a:effectLst>
        </c:spPr>
      </c:pivotFmt>
      <c:pivotFmt>
        <c:idx val="11"/>
        <c:spPr>
          <a:solidFill>
            <a:schemeClr val="accent2"/>
          </a:solidFill>
          <a:ln>
            <a:noFill/>
          </a:ln>
          <a:effectLst>
            <a:outerShdw blurRad="317500" algn="ctr" rotWithShape="0">
              <a:prstClr val="black">
                <a:alpha val="25000"/>
              </a:prstClr>
            </a:outerShdw>
          </a:effectLst>
        </c:spPr>
      </c:pivotFmt>
      <c:pivotFmt>
        <c:idx val="12"/>
        <c:spPr>
          <a:solidFill>
            <a:schemeClr val="accent2"/>
          </a:solidFill>
          <a:ln>
            <a:noFill/>
          </a:ln>
          <a:effectLst>
            <a:outerShdw blurRad="317500" algn="ctr" rotWithShape="0">
              <a:prstClr val="black">
                <a:alpha val="25000"/>
              </a:prstClr>
            </a:outerShdw>
          </a:effectLst>
        </c:spPr>
      </c:pivotFmt>
      <c:pivotFmt>
        <c:idx val="13"/>
        <c:spPr>
          <a:solidFill>
            <a:schemeClr val="accent2"/>
          </a:solidFill>
          <a:ln>
            <a:noFill/>
          </a:ln>
          <a:effectLst>
            <a:outerShdw blurRad="317500" algn="ctr" rotWithShape="0">
              <a:prstClr val="black">
                <a:alpha val="25000"/>
              </a:prstClr>
            </a:outerShdw>
          </a:effectLst>
        </c:spPr>
      </c:pivotFmt>
      <c:pivotFmt>
        <c:idx val="14"/>
        <c:spPr>
          <a:solidFill>
            <a:schemeClr val="accent2"/>
          </a:solidFill>
          <a:ln>
            <a:noFill/>
          </a:ln>
          <a:effectLst>
            <a:outerShdw blurRad="317500" algn="ctr" rotWithShape="0">
              <a:prstClr val="black">
                <a:alpha val="25000"/>
              </a:prstClr>
            </a:outerShdw>
          </a:effectLst>
        </c:spPr>
      </c:pivotFmt>
      <c:pivotFmt>
        <c:idx val="15"/>
        <c:spPr>
          <a:solidFill>
            <a:schemeClr val="accent2"/>
          </a:solidFill>
          <a:ln>
            <a:noFill/>
          </a:ln>
          <a:effectLst>
            <a:outerShdw blurRad="317500" algn="ctr" rotWithShape="0">
              <a:prstClr val="black">
                <a:alpha val="25000"/>
              </a:prstClr>
            </a:outerShdw>
          </a:effectLst>
        </c:spPr>
      </c:pivotFmt>
      <c:pivotFmt>
        <c:idx val="16"/>
        <c:spPr>
          <a:solidFill>
            <a:schemeClr val="accent2"/>
          </a:solidFill>
          <a:ln>
            <a:noFill/>
          </a:ln>
          <a:effectLst>
            <a:outerShdw blurRad="317500" algn="ctr" rotWithShape="0">
              <a:prstClr val="black">
                <a:alpha val="25000"/>
              </a:prstClr>
            </a:outerShdw>
          </a:effectLst>
        </c:spPr>
      </c:pivotFmt>
      <c:pivotFmt>
        <c:idx val="17"/>
        <c:spPr>
          <a:solidFill>
            <a:schemeClr val="accent2"/>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2"/>
          </a:solidFill>
          <a:ln>
            <a:noFill/>
          </a:ln>
          <a:effectLst>
            <a:outerShdw blurRad="317500" algn="ctr" rotWithShape="0">
              <a:prstClr val="black">
                <a:alpha val="25000"/>
              </a:prstClr>
            </a:outerShdw>
          </a:effectLst>
        </c:spPr>
      </c:pivotFmt>
      <c:pivotFmt>
        <c:idx val="19"/>
        <c:spPr>
          <a:solidFill>
            <a:schemeClr val="accent2"/>
          </a:solidFill>
          <a:ln>
            <a:noFill/>
          </a:ln>
          <a:effectLst>
            <a:outerShdw blurRad="317500" algn="ctr" rotWithShape="0">
              <a:prstClr val="black">
                <a:alpha val="25000"/>
              </a:prstClr>
            </a:outerShdw>
          </a:effectLst>
        </c:spPr>
      </c:pivotFmt>
      <c:pivotFmt>
        <c:idx val="20"/>
        <c:spPr>
          <a:solidFill>
            <a:schemeClr val="accent2"/>
          </a:solidFill>
          <a:ln>
            <a:noFill/>
          </a:ln>
          <a:effectLst>
            <a:outerShdw blurRad="317500" algn="ctr" rotWithShape="0">
              <a:prstClr val="black">
                <a:alpha val="25000"/>
              </a:prstClr>
            </a:outerShdw>
          </a:effectLst>
        </c:spPr>
      </c:pivotFmt>
      <c:pivotFmt>
        <c:idx val="21"/>
        <c:spPr>
          <a:solidFill>
            <a:schemeClr val="accent2"/>
          </a:solidFill>
          <a:ln>
            <a:noFill/>
          </a:ln>
          <a:effectLst>
            <a:outerShdw blurRad="317500" algn="ctr" rotWithShape="0">
              <a:prstClr val="black">
                <a:alpha val="25000"/>
              </a:prstClr>
            </a:outerShdw>
          </a:effectLst>
        </c:spPr>
      </c:pivotFmt>
      <c:pivotFmt>
        <c:idx val="22"/>
        <c:spPr>
          <a:solidFill>
            <a:schemeClr val="accent2"/>
          </a:solidFill>
          <a:ln>
            <a:noFill/>
          </a:ln>
          <a:effectLst>
            <a:outerShdw blurRad="317500" algn="ctr" rotWithShape="0">
              <a:prstClr val="black">
                <a:alpha val="25000"/>
              </a:prstClr>
            </a:outerShdw>
          </a:effectLst>
        </c:spPr>
      </c:pivotFmt>
      <c:pivotFmt>
        <c:idx val="23"/>
        <c:spPr>
          <a:solidFill>
            <a:schemeClr val="accent2"/>
          </a:solidFill>
          <a:ln>
            <a:noFill/>
          </a:ln>
          <a:effectLst>
            <a:outerShdw blurRad="317500" algn="ctr" rotWithShape="0">
              <a:prstClr val="black">
                <a:alpha val="25000"/>
              </a:prstClr>
            </a:outerShdw>
          </a:effectLst>
        </c:spPr>
      </c:pivotFmt>
      <c:pivotFmt>
        <c:idx val="24"/>
        <c:spPr>
          <a:solidFill>
            <a:schemeClr val="accent2"/>
          </a:solidFill>
          <a:ln>
            <a:noFill/>
          </a:ln>
          <a:effectLst>
            <a:outerShdw blurRad="317500" algn="ctr" rotWithShape="0">
              <a:prstClr val="black">
                <a:alpha val="25000"/>
              </a:prstClr>
            </a:outerShdw>
          </a:effectLst>
        </c:spPr>
      </c:pivotFmt>
    </c:pivotFmts>
    <c:plotArea>
      <c:layout/>
      <c:pieChart>
        <c:varyColors val="1"/>
        <c:ser>
          <c:idx val="0"/>
          <c:order val="0"/>
          <c:tx>
            <c:strRef>
              <c:f>Sheet4!$B$21</c:f>
              <c:strCache>
                <c:ptCount val="1"/>
                <c:pt idx="0">
                  <c:v>Total</c:v>
                </c:pt>
              </c:strCache>
            </c:strRef>
          </c:tx>
          <c:dPt>
            <c:idx val="0"/>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154A-482A-ADA7-039FDFD7DE78}"/>
              </c:ext>
            </c:extLst>
          </c:dPt>
          <c:dPt>
            <c:idx val="1"/>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154A-482A-ADA7-039FDFD7DE78}"/>
              </c:ext>
            </c:extLst>
          </c:dPt>
          <c:dPt>
            <c:idx val="2"/>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154A-482A-ADA7-039FDFD7DE78}"/>
              </c:ext>
            </c:extLst>
          </c:dPt>
          <c:dPt>
            <c:idx val="3"/>
            <c:bubble3D val="0"/>
            <c:spPr>
              <a:solidFill>
                <a:schemeClr val="accent2">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154A-482A-ADA7-039FDFD7DE78}"/>
              </c:ext>
            </c:extLst>
          </c:dPt>
          <c:dPt>
            <c:idx val="4"/>
            <c:bubble3D val="0"/>
            <c:spPr>
              <a:solidFill>
                <a:schemeClr val="accent4">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154A-482A-ADA7-039FDFD7DE78}"/>
              </c:ext>
            </c:extLst>
          </c:dPt>
          <c:dPt>
            <c:idx val="5"/>
            <c:bubble3D val="0"/>
            <c:spPr>
              <a:solidFill>
                <a:schemeClr val="accent6">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154A-482A-ADA7-039FDFD7DE78}"/>
              </c:ext>
            </c:extLst>
          </c:dPt>
          <c:dPt>
            <c:idx val="6"/>
            <c:bubble3D val="0"/>
            <c:spPr>
              <a:solidFill>
                <a:schemeClr val="accent2">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154A-482A-ADA7-039FDFD7DE7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Sheet4!$A$22:$A$29</c:f>
              <c:strCache>
                <c:ptCount val="7"/>
                <c:pt idx="0">
                  <c:v>CPPP</c:v>
                </c:pt>
                <c:pt idx="1">
                  <c:v>eproc Punjab</c:v>
                </c:pt>
                <c:pt idx="2">
                  <c:v>GeM</c:v>
                </c:pt>
                <c:pt idx="3">
                  <c:v>HP 
Procurement
 Portal</c:v>
                </c:pt>
                <c:pt idx="4">
                  <c:v>MP Procurement Portal</c:v>
                </c:pt>
                <c:pt idx="5">
                  <c:v>Prashank's lead</c:v>
                </c:pt>
                <c:pt idx="6">
                  <c:v>Tender Tiger</c:v>
                </c:pt>
              </c:strCache>
            </c:strRef>
          </c:cat>
          <c:val>
            <c:numRef>
              <c:f>Sheet4!$B$22:$B$29</c:f>
              <c:numCache>
                <c:formatCode>General</c:formatCode>
                <c:ptCount val="7"/>
                <c:pt idx="0">
                  <c:v>1</c:v>
                </c:pt>
                <c:pt idx="1">
                  <c:v>1</c:v>
                </c:pt>
                <c:pt idx="2">
                  <c:v>1</c:v>
                </c:pt>
                <c:pt idx="3">
                  <c:v>1</c:v>
                </c:pt>
                <c:pt idx="4">
                  <c:v>2</c:v>
                </c:pt>
                <c:pt idx="5">
                  <c:v>1</c:v>
                </c:pt>
                <c:pt idx="6">
                  <c:v>26</c:v>
                </c:pt>
              </c:numCache>
            </c:numRef>
          </c:val>
          <c:extLst>
            <c:ext xmlns:c16="http://schemas.microsoft.com/office/drawing/2014/chart" uri="{C3380CC4-5D6E-409C-BE32-E72D297353CC}">
              <c16:uniqueId val="{00000011-705F-467B-88F3-C687D5CB94D2}"/>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tr"/>
      <c:layout>
        <c:manualLayout>
          <c:xMode val="edge"/>
          <c:yMode val="edge"/>
          <c:x val="0.65"/>
          <c:y val="0.21543562263050448"/>
          <c:w val="0.33333333333333331"/>
          <c:h val="0.7437747885680957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[Tender master data _dashboard (1) (1).xlsm]Sheet4!PivotTable4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Sheet4!$B$39</c:f>
              <c:strCache>
                <c:ptCount val="1"/>
                <c:pt idx="0">
                  <c:v>Total</c:v>
                </c:pt>
              </c:strCache>
            </c:strRef>
          </c:tx>
          <c:spPr>
            <a:solidFill>
              <a:schemeClr val="accent1"/>
            </a:solidFill>
            <a:ln>
              <a:noFill/>
            </a:ln>
            <a:effectLst/>
            <a:sp3d/>
          </c:spPr>
          <c:invertIfNegative val="0"/>
          <c:cat>
            <c:strRef>
              <c:f>Sheet4!$A$40</c:f>
              <c:strCache>
                <c:ptCount val="1"/>
                <c:pt idx="0">
                  <c:v>Grand Total</c:v>
                </c:pt>
              </c:strCache>
            </c:strRef>
          </c:cat>
          <c:val>
            <c:numRef>
              <c:f>Sheet4!$B$40</c:f>
              <c:numCache>
                <c:formatCode>General</c:formatCode>
                <c:ptCount val="1"/>
              </c:numCache>
            </c:numRef>
          </c:val>
          <c:extLst>
            <c:ext xmlns:c16="http://schemas.microsoft.com/office/drawing/2014/chart" uri="{C3380CC4-5D6E-409C-BE32-E72D297353CC}">
              <c16:uniqueId val="{00000000-01D8-4685-9603-13E8E87065DB}"/>
            </c:ext>
          </c:extLst>
        </c:ser>
        <c:dLbls>
          <c:showLegendKey val="0"/>
          <c:showVal val="0"/>
          <c:showCatName val="0"/>
          <c:showSerName val="0"/>
          <c:showPercent val="0"/>
          <c:showBubbleSize val="0"/>
        </c:dLbls>
        <c:gapWidth val="150"/>
        <c:shape val="box"/>
        <c:axId val="1558544208"/>
        <c:axId val="1558555632"/>
        <c:axId val="0"/>
      </c:bar3DChart>
      <c:catAx>
        <c:axId val="155854420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555632"/>
        <c:crosses val="autoZero"/>
        <c:auto val="1"/>
        <c:lblAlgn val="ctr"/>
        <c:lblOffset val="100"/>
        <c:noMultiLvlLbl val="0"/>
      </c:catAx>
      <c:valAx>
        <c:axId val="15585556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5442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[Tender master data _dashboard (1) (1).xlsm]Sheet4!PivotTable23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Sheet4!$B$60:$B$61</c:f>
              <c:strCache>
                <c:ptCount val="1"/>
                <c:pt idx="0">
                  <c:v>Active</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Sheet4!$A$62:$A$71</c:f>
              <c:strCache>
                <c:ptCount val="9"/>
                <c:pt idx="0">
                  <c:v>Dec/22</c:v>
                </c:pt>
                <c:pt idx="1">
                  <c:v>Jan/23</c:v>
                </c:pt>
                <c:pt idx="2">
                  <c:v>Nov/22</c:v>
                </c:pt>
                <c:pt idx="3">
                  <c:v>Oct/22</c:v>
                </c:pt>
                <c:pt idx="4">
                  <c:v>Sep/22</c:v>
                </c:pt>
                <c:pt idx="5">
                  <c:v>Feb/23</c:v>
                </c:pt>
                <c:pt idx="6">
                  <c:v>Mar/23</c:v>
                </c:pt>
                <c:pt idx="7">
                  <c:v>Apr/23</c:v>
                </c:pt>
                <c:pt idx="8">
                  <c:v>May/23</c:v>
                </c:pt>
              </c:strCache>
            </c:strRef>
          </c:cat>
          <c:val>
            <c:numRef>
              <c:f>Sheet4!$B$62:$B$71</c:f>
              <c:numCache>
                <c:formatCode>General</c:formatCode>
                <c:ptCount val="9"/>
                <c:pt idx="8">
                  <c:v>1</c:v>
                </c:pt>
              </c:numCache>
            </c:numRef>
          </c:val>
          <c:extLst>
            <c:ext xmlns:c16="http://schemas.microsoft.com/office/drawing/2014/chart" uri="{C3380CC4-5D6E-409C-BE32-E72D297353CC}">
              <c16:uniqueId val="{00000000-3662-40CB-9C38-6A4A2AA0E6B0}"/>
            </c:ext>
          </c:extLst>
        </c:ser>
        <c:ser>
          <c:idx val="1"/>
          <c:order val="1"/>
          <c:tx>
            <c:strRef>
              <c:f>Sheet4!$C$60:$C$61</c:f>
              <c:strCache>
                <c:ptCount val="1"/>
                <c:pt idx="0">
                  <c:v>Filed but cancelled by tenderer</c:v>
                </c:pt>
              </c:strCache>
            </c:strRef>
          </c:tx>
          <c:spPr>
            <a:solidFill>
              <a:schemeClr val="accent4"/>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Sheet4!$A$62:$A$71</c:f>
              <c:strCache>
                <c:ptCount val="9"/>
                <c:pt idx="0">
                  <c:v>Dec/22</c:v>
                </c:pt>
                <c:pt idx="1">
                  <c:v>Jan/23</c:v>
                </c:pt>
                <c:pt idx="2">
                  <c:v>Nov/22</c:v>
                </c:pt>
                <c:pt idx="3">
                  <c:v>Oct/22</c:v>
                </c:pt>
                <c:pt idx="4">
                  <c:v>Sep/22</c:v>
                </c:pt>
                <c:pt idx="5">
                  <c:v>Feb/23</c:v>
                </c:pt>
                <c:pt idx="6">
                  <c:v>Mar/23</c:v>
                </c:pt>
                <c:pt idx="7">
                  <c:v>Apr/23</c:v>
                </c:pt>
                <c:pt idx="8">
                  <c:v>May/23</c:v>
                </c:pt>
              </c:strCache>
            </c:strRef>
          </c:cat>
          <c:val>
            <c:numRef>
              <c:f>Sheet4!$C$62:$C$71</c:f>
              <c:numCache>
                <c:formatCode>General</c:formatCode>
                <c:ptCount val="9"/>
                <c:pt idx="0">
                  <c:v>1</c:v>
                </c:pt>
              </c:numCache>
            </c:numRef>
          </c:val>
          <c:extLst>
            <c:ext xmlns:c16="http://schemas.microsoft.com/office/drawing/2014/chart" uri="{C3380CC4-5D6E-409C-BE32-E72D297353CC}">
              <c16:uniqueId val="{00000001-3662-40CB-9C38-6A4A2AA0E6B0}"/>
            </c:ext>
          </c:extLst>
        </c:ser>
        <c:ser>
          <c:idx val="2"/>
          <c:order val="2"/>
          <c:tx>
            <c:strRef>
              <c:f>Sheet4!$D$60:$D$61</c:f>
              <c:strCache>
                <c:ptCount val="1"/>
                <c:pt idx="0">
                  <c:v>Inactive</c:v>
                </c:pt>
              </c:strCache>
            </c:strRef>
          </c:tx>
          <c:spPr>
            <a:solidFill>
              <a:schemeClr val="accent6"/>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Sheet4!$A$62:$A$71</c:f>
              <c:strCache>
                <c:ptCount val="9"/>
                <c:pt idx="0">
                  <c:v>Dec/22</c:v>
                </c:pt>
                <c:pt idx="1">
                  <c:v>Jan/23</c:v>
                </c:pt>
                <c:pt idx="2">
                  <c:v>Nov/22</c:v>
                </c:pt>
                <c:pt idx="3">
                  <c:v>Oct/22</c:v>
                </c:pt>
                <c:pt idx="4">
                  <c:v>Sep/22</c:v>
                </c:pt>
                <c:pt idx="5">
                  <c:v>Feb/23</c:v>
                </c:pt>
                <c:pt idx="6">
                  <c:v>Mar/23</c:v>
                </c:pt>
                <c:pt idx="7">
                  <c:v>Apr/23</c:v>
                </c:pt>
                <c:pt idx="8">
                  <c:v>May/23</c:v>
                </c:pt>
              </c:strCache>
            </c:strRef>
          </c:cat>
          <c:val>
            <c:numRef>
              <c:f>Sheet4!$D$62:$D$71</c:f>
              <c:numCache>
                <c:formatCode>General</c:formatCode>
                <c:ptCount val="9"/>
                <c:pt idx="0">
                  <c:v>5</c:v>
                </c:pt>
                <c:pt idx="1">
                  <c:v>2</c:v>
                </c:pt>
                <c:pt idx="2">
                  <c:v>6</c:v>
                </c:pt>
                <c:pt idx="3">
                  <c:v>10</c:v>
                </c:pt>
                <c:pt idx="4">
                  <c:v>9</c:v>
                </c:pt>
                <c:pt idx="5">
                  <c:v>5</c:v>
                </c:pt>
                <c:pt idx="6">
                  <c:v>3</c:v>
                </c:pt>
                <c:pt idx="7">
                  <c:v>2</c:v>
                </c:pt>
              </c:numCache>
            </c:numRef>
          </c:val>
          <c:extLst>
            <c:ext xmlns:c16="http://schemas.microsoft.com/office/drawing/2014/chart" uri="{C3380CC4-5D6E-409C-BE32-E72D297353CC}">
              <c16:uniqueId val="{00000002-3662-40CB-9C38-6A4A2AA0E6B0}"/>
            </c:ext>
          </c:extLst>
        </c:ser>
        <c:dLbls>
          <c:showLegendKey val="0"/>
          <c:showVal val="1"/>
          <c:showCatName val="0"/>
          <c:showSerName val="0"/>
          <c:showPercent val="0"/>
          <c:showBubbleSize val="0"/>
        </c:dLbls>
        <c:gapWidth val="150"/>
        <c:shape val="box"/>
        <c:axId val="1558550736"/>
        <c:axId val="1558547472"/>
        <c:axId val="0"/>
      </c:bar3DChart>
      <c:catAx>
        <c:axId val="155855073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547472"/>
        <c:crosses val="autoZero"/>
        <c:auto val="1"/>
        <c:lblAlgn val="ctr"/>
        <c:lblOffset val="100"/>
        <c:noMultiLvlLbl val="0"/>
      </c:catAx>
      <c:valAx>
        <c:axId val="1558547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5507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path path="rect">
        <a:fillToRect l="100000" t="100000"/>
      </a:path>
      <a:tileRect r="-100000" b="-100000"/>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6.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3.xml"/><Relationship Id="rId7" Type="http://schemas.openxmlformats.org/officeDocument/2006/relationships/chart" Target="../charts/chart4.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Working sheet'!B25"/><Relationship Id="rId11" Type="http://schemas.openxmlformats.org/officeDocument/2006/relationships/chart" Target="../charts/chart6.xml"/><Relationship Id="rId5" Type="http://schemas.openxmlformats.org/officeDocument/2006/relationships/hyperlink" Target="#'Working sheet'!B30"/><Relationship Id="rId10" Type="http://schemas.openxmlformats.org/officeDocument/2006/relationships/image" Target="../media/image2.svg"/><Relationship Id="rId4" Type="http://schemas.openxmlformats.org/officeDocument/2006/relationships/hyperlink" Target="#'Working sheet'!B35"/><Relationship Id="rId9"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hyperlink" Target="#'Qualifying parameters'!D2"/><Relationship Id="rId3" Type="http://schemas.openxmlformats.org/officeDocument/2006/relationships/chart" Target="../charts/chart9.xml"/><Relationship Id="rId7" Type="http://schemas.openxmlformats.org/officeDocument/2006/relationships/chart" Target="../charts/chart13.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1" Type="http://schemas.openxmlformats.org/officeDocument/2006/relationships/hyperlink" Target="#'Qualifying parameters'!D2"/></Relationships>
</file>

<file path=xl/drawings/_rels/drawing4.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chart" Target="../charts/chart14.xml"/><Relationship Id="rId4" Type="http://schemas.openxmlformats.org/officeDocument/2006/relationships/chart" Target="../charts/chart17.xml"/></Relationships>
</file>

<file path=xl/drawings/_rels/drawing5.xml.rels><?xml version="1.0" encoding="UTF-8" standalone="yes"?>
<Relationships xmlns="http://schemas.openxmlformats.org/package/2006/relationships"><Relationship Id="rId8" Type="http://schemas.openxmlformats.org/officeDocument/2006/relationships/hyperlink" Target="#'Tender Dashboard'!A1"/><Relationship Id="rId3" Type="http://schemas.openxmlformats.org/officeDocument/2006/relationships/chart" Target="../charts/chart18.xml"/><Relationship Id="rId7" Type="http://schemas.openxmlformats.org/officeDocument/2006/relationships/chart" Target="../charts/chart21.xml"/><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chart" Target="../charts/chart20.xml"/><Relationship Id="rId11" Type="http://schemas.openxmlformats.org/officeDocument/2006/relationships/image" Target="../media/image7.png"/><Relationship Id="rId5" Type="http://schemas.openxmlformats.org/officeDocument/2006/relationships/chart" Target="../charts/chart19.xml"/><Relationship Id="rId10" Type="http://schemas.openxmlformats.org/officeDocument/2006/relationships/image" Target="../media/image6.png"/><Relationship Id="rId4" Type="http://schemas.openxmlformats.org/officeDocument/2006/relationships/image" Target="../media/image5.png"/><Relationship Id="rId9" Type="http://schemas.openxmlformats.org/officeDocument/2006/relationships/hyperlink" Target="#'Payment Dashboard May '!A1"/></Relationships>
</file>

<file path=xl/drawings/_rels/drawing6.xml.rels><?xml version="1.0" encoding="UTF-8" standalone="yes"?>
<Relationships xmlns="http://schemas.openxmlformats.org/package/2006/relationships"><Relationship Id="rId3" Type="http://schemas.openxmlformats.org/officeDocument/2006/relationships/hyperlink" Target="#'Payment Dashboard May '!A1"/><Relationship Id="rId7" Type="http://schemas.openxmlformats.org/officeDocument/2006/relationships/image" Target="../media/image7.png"/><Relationship Id="rId2" Type="http://schemas.openxmlformats.org/officeDocument/2006/relationships/hyperlink" Target="#'Tender Dashboard'!A1"/><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chart" Target="../charts/chart22.xml"/><Relationship Id="rId4" Type="http://schemas.openxmlformats.org/officeDocument/2006/relationships/image" Target="../media/image4.png"/></Relationships>
</file>

<file path=xl/drawings/_rels/drawing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4" Type="http://schemas.openxmlformats.org/officeDocument/2006/relationships/chart" Target="../charts/chart30.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28573</xdr:rowOff>
    </xdr:from>
    <xdr:to>
      <xdr:col>24</xdr:col>
      <xdr:colOff>0</xdr:colOff>
      <xdr:row>72</xdr:row>
      <xdr:rowOff>11906</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8575" y="28573"/>
          <a:ext cx="14601825" cy="13699333"/>
        </a:xfrm>
        <a:prstGeom prst="rect">
          <a:avLst/>
        </a:prstGeom>
        <a:solidFill>
          <a:srgbClr val="8CB6A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IN" sz="2800" b="1" i="1"/>
        </a:p>
      </xdr:txBody>
    </xdr:sp>
    <xdr:clientData/>
  </xdr:twoCellAnchor>
  <xdr:twoCellAnchor editAs="absolute">
    <xdr:from>
      <xdr:col>0</xdr:col>
      <xdr:colOff>39156</xdr:colOff>
      <xdr:row>4</xdr:row>
      <xdr:rowOff>0</xdr:rowOff>
    </xdr:from>
    <xdr:to>
      <xdr:col>7</xdr:col>
      <xdr:colOff>387615</xdr:colOff>
      <xdr:row>21</xdr:row>
      <xdr:rowOff>1500</xdr:rowOff>
    </xdr:to>
    <xdr:graphicFrame macro="">
      <xdr:nvGraphicFramePr>
        <xdr:cNvPr id="3" name="Chart 3">
          <a:extLst>
            <a:ext uri="{FF2B5EF4-FFF2-40B4-BE49-F238E27FC236}">
              <a16:creationId xmlns:a16="http://schemas.microsoft.com/office/drawing/2014/main" id="{00000000-0008-0000-0000-000003000000}"/>
            </a:ext>
            <a:ext uri="{147F2762-F138-4A5C-976F-8EAC2B608ADB}">
              <a16:predDERef xmlns:a16="http://schemas.microsoft.com/office/drawing/2014/main" pred="{9680EC77-8954-4DDE-9D87-E663DC98F7A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7</xdr:col>
      <xdr:colOff>467933</xdr:colOff>
      <xdr:row>4</xdr:row>
      <xdr:rowOff>13605</xdr:rowOff>
    </xdr:from>
    <xdr:to>
      <xdr:col>17</xdr:col>
      <xdr:colOff>2153</xdr:colOff>
      <xdr:row>21</xdr:row>
      <xdr:rowOff>15105</xdr:rowOff>
    </xdr:to>
    <xdr:graphicFrame macro="">
      <xdr:nvGraphicFramePr>
        <xdr:cNvPr id="4" name="Chart 4">
          <a:extLst>
            <a:ext uri="{FF2B5EF4-FFF2-40B4-BE49-F238E27FC236}">
              <a16:creationId xmlns:a16="http://schemas.microsoft.com/office/drawing/2014/main" id="{00000000-0008-0000-0000-000004000000}"/>
            </a:ext>
            <a:ext uri="{147F2762-F138-4A5C-976F-8EAC2B608ADB}">
              <a16:predDERef xmlns:a16="http://schemas.microsoft.com/office/drawing/2014/main" pred="{C440DD41-5CD9-4182-9239-1C8358F5541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35719</xdr:colOff>
      <xdr:row>38</xdr:row>
      <xdr:rowOff>162380</xdr:rowOff>
    </xdr:from>
    <xdr:to>
      <xdr:col>23</xdr:col>
      <xdr:colOff>547688</xdr:colOff>
      <xdr:row>55</xdr:row>
      <xdr:rowOff>163880</xdr:rowOff>
    </xdr:to>
    <xdr:graphicFrame macro="">
      <xdr:nvGraphicFramePr>
        <xdr:cNvPr id="5" name="Chart 5">
          <a:extLst>
            <a:ext uri="{FF2B5EF4-FFF2-40B4-BE49-F238E27FC236}">
              <a16:creationId xmlns:a16="http://schemas.microsoft.com/office/drawing/2014/main" id="{00000000-0008-0000-0000-000005000000}"/>
            </a:ext>
            <a:ext uri="{147F2762-F138-4A5C-976F-8EAC2B608ADB}">
              <a16:predDERef xmlns:a16="http://schemas.microsoft.com/office/drawing/2014/main" pred="{CD65D4EA-C110-4898-93D0-68D167BBE6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481353</xdr:colOff>
      <xdr:row>0</xdr:row>
      <xdr:rowOff>56130</xdr:rowOff>
    </xdr:from>
    <xdr:to>
      <xdr:col>14</xdr:col>
      <xdr:colOff>523874</xdr:colOff>
      <xdr:row>3</xdr:row>
      <xdr:rowOff>95250</xdr:rowOff>
    </xdr:to>
    <xdr:sp macro="" textlink="">
      <xdr:nvSpPr>
        <xdr:cNvPr id="6" name="TextBox 6">
          <a:extLst>
            <a:ext uri="{FF2B5EF4-FFF2-40B4-BE49-F238E27FC236}">
              <a16:creationId xmlns:a16="http://schemas.microsoft.com/office/drawing/2014/main" id="{00000000-0008-0000-0000-000006000000}"/>
            </a:ext>
          </a:extLst>
        </xdr:cNvPr>
        <xdr:cNvSpPr txBox="1"/>
      </xdr:nvSpPr>
      <xdr:spPr>
        <a:xfrm>
          <a:off x="4748553" y="56130"/>
          <a:ext cx="4309721" cy="610620"/>
        </a:xfrm>
        <a:prstGeom prst="rect">
          <a:avLst/>
        </a:prstGeom>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3600" b="1" i="0">
              <a:solidFill>
                <a:schemeClr val="tx1"/>
              </a:solidFill>
              <a:effectLst/>
            </a:rPr>
            <a:t>TENDER</a:t>
          </a:r>
          <a:r>
            <a:rPr lang="en-IN" sz="3600" b="1" i="0" baseline="0">
              <a:solidFill>
                <a:schemeClr val="tx1"/>
              </a:solidFill>
              <a:effectLst/>
            </a:rPr>
            <a:t> DASHBOARD</a:t>
          </a:r>
          <a:endParaRPr lang="en-IN" sz="3600" b="1" i="0">
            <a:solidFill>
              <a:schemeClr val="tx1"/>
            </a:solidFill>
            <a:effectLst/>
          </a:endParaRPr>
        </a:p>
      </xdr:txBody>
    </xdr:sp>
    <xdr:clientData/>
  </xdr:twoCellAnchor>
  <xdr:twoCellAnchor>
    <xdr:from>
      <xdr:col>8</xdr:col>
      <xdr:colOff>579664</xdr:colOff>
      <xdr:row>7</xdr:row>
      <xdr:rowOff>156480</xdr:rowOff>
    </xdr:from>
    <xdr:to>
      <xdr:col>15</xdr:col>
      <xdr:colOff>464344</xdr:colOff>
      <xdr:row>24</xdr:row>
      <xdr:rowOff>157980</xdr:rowOff>
    </xdr:to>
    <xdr:sp macro="" textlink="">
      <xdr:nvSpPr>
        <xdr:cNvPr id="7" name="TextBox 7">
          <a:extLst>
            <a:ext uri="{FF2B5EF4-FFF2-40B4-BE49-F238E27FC236}">
              <a16:creationId xmlns:a16="http://schemas.microsoft.com/office/drawing/2014/main" id="{00000000-0008-0000-0000-000007000000}"/>
            </a:ext>
            <a:ext uri="{147F2762-F138-4A5C-976F-8EAC2B608ADB}">
              <a16:predDERef xmlns:a16="http://schemas.microsoft.com/office/drawing/2014/main" pred="{976B9EBC-7989-432D-9921-14822EF2143F}"/>
            </a:ext>
          </a:extLst>
        </xdr:cNvPr>
        <xdr:cNvSpPr txBox="1"/>
      </xdr:nvSpPr>
      <xdr:spPr>
        <a:xfrm>
          <a:off x="5456464" y="1423305"/>
          <a:ext cx="4151880" cy="3078075"/>
        </a:xfrm>
        <a:prstGeom prst="rect">
          <a:avLst/>
        </a:prstGeom>
        <a:gradFill flip="none" rotWithShape="1">
          <a:gsLst>
            <a:gs pos="0">
              <a:srgbClr val="F2FAED"/>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mpd="sng">
          <a:gradFill>
            <a:gsLst>
              <a:gs pos="35000">
                <a:srgbClr val="F7F5F5"/>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t>State Of Active Tenders (OVERALL)</a:t>
          </a:r>
        </a:p>
        <a:p>
          <a:endParaRPr lang="en-IN" sz="1600" b="1"/>
        </a:p>
        <a:p>
          <a:r>
            <a:rPr lang="en-IN" sz="1400" b="1" i="1"/>
            <a:t>With Management :</a:t>
          </a:r>
          <a:r>
            <a:rPr lang="en-IN" sz="1400" b="1" i="1" baseline="0"/>
            <a:t> 0</a:t>
          </a:r>
          <a:endParaRPr lang="en-IN" sz="1400" b="1" i="1"/>
        </a:p>
        <a:p>
          <a:endParaRPr lang="en-IN" sz="1400" b="1" i="1"/>
        </a:p>
        <a:p>
          <a:r>
            <a:rPr lang="en-IN" sz="1400" b="1" i="1"/>
            <a:t>Technical evaluation : 0</a:t>
          </a:r>
        </a:p>
        <a:p>
          <a:endParaRPr lang="en-IN" sz="1400" b="1" i="1"/>
        </a:p>
        <a:p>
          <a:r>
            <a:rPr lang="en-IN" sz="1400" b="1" i="1"/>
            <a:t>Documentation : 1 </a:t>
          </a:r>
        </a:p>
        <a:p>
          <a:endParaRPr lang="en-IN" sz="1400" b="1" i="1"/>
        </a:p>
        <a:p>
          <a:r>
            <a:rPr lang="en-IN" sz="1400" b="1" i="1"/>
            <a:t>Filed : 3  </a:t>
          </a:r>
        </a:p>
      </xdr:txBody>
    </xdr:sp>
    <xdr:clientData/>
  </xdr:twoCellAnchor>
  <xdr:twoCellAnchor>
    <xdr:from>
      <xdr:col>18</xdr:col>
      <xdr:colOff>597692</xdr:colOff>
      <xdr:row>11</xdr:row>
      <xdr:rowOff>21432</xdr:rowOff>
    </xdr:from>
    <xdr:to>
      <xdr:col>20</xdr:col>
      <xdr:colOff>283255</xdr:colOff>
      <xdr:row>12</xdr:row>
      <xdr:rowOff>82932</xdr:rowOff>
    </xdr:to>
    <xdr:sp macro="" textlink="">
      <xdr:nvSpPr>
        <xdr:cNvPr id="8" name="TextBox 9">
          <a:hlinkClick xmlns:r="http://schemas.openxmlformats.org/officeDocument/2006/relationships" r:id="rId4"/>
          <a:extLst>
            <a:ext uri="{FF2B5EF4-FFF2-40B4-BE49-F238E27FC236}">
              <a16:creationId xmlns:a16="http://schemas.microsoft.com/office/drawing/2014/main" id="{00000000-0008-0000-0000-000008000000}"/>
            </a:ext>
            <a:ext uri="{147F2762-F138-4A5C-976F-8EAC2B608ADB}">
              <a16:predDERef xmlns:a16="http://schemas.microsoft.com/office/drawing/2014/main" pred="{EBB27819-3CD9-41E5-8EB6-CD89303EF578}"/>
            </a:ext>
          </a:extLst>
        </xdr:cNvPr>
        <xdr:cNvSpPr txBox="1"/>
      </xdr:nvSpPr>
      <xdr:spPr>
        <a:xfrm>
          <a:off x="11570492" y="2012157"/>
          <a:ext cx="904763" cy="242475"/>
        </a:xfrm>
        <a:prstGeom prst="rect">
          <a:avLst/>
        </a:prstGeom>
        <a:solidFill>
          <a:srgbClr val="92D050"/>
        </a:solidFill>
        <a:ln w="9525" cmpd="sng">
          <a:solidFill>
            <a:schemeClr val="lt1">
              <a:shade val="50000"/>
            </a:schemeClr>
          </a:solidFill>
        </a:ln>
        <a:effectLst>
          <a:softEdge rad="508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1"/>
            <a:t>HARTRON</a:t>
          </a:r>
        </a:p>
      </xdr:txBody>
    </xdr:sp>
    <xdr:clientData/>
  </xdr:twoCellAnchor>
  <xdr:twoCellAnchor>
    <xdr:from>
      <xdr:col>18</xdr:col>
      <xdr:colOff>259557</xdr:colOff>
      <xdr:row>16</xdr:row>
      <xdr:rowOff>185738</xdr:rowOff>
    </xdr:from>
    <xdr:to>
      <xdr:col>20</xdr:col>
      <xdr:colOff>233120</xdr:colOff>
      <xdr:row>18</xdr:row>
      <xdr:rowOff>54770</xdr:rowOff>
    </xdr:to>
    <xdr:sp macro="" textlink="">
      <xdr:nvSpPr>
        <xdr:cNvPr id="9" name="TextBox 10">
          <a:hlinkClick xmlns:r="http://schemas.openxmlformats.org/officeDocument/2006/relationships" r:id="rId5"/>
          <a:extLst>
            <a:ext uri="{FF2B5EF4-FFF2-40B4-BE49-F238E27FC236}">
              <a16:creationId xmlns:a16="http://schemas.microsoft.com/office/drawing/2014/main" id="{00000000-0008-0000-0000-000009000000}"/>
            </a:ext>
          </a:extLst>
        </xdr:cNvPr>
        <xdr:cNvSpPr txBox="1"/>
      </xdr:nvSpPr>
      <xdr:spPr>
        <a:xfrm>
          <a:off x="11232357" y="3233738"/>
          <a:ext cx="1192763" cy="250032"/>
        </a:xfrm>
        <a:prstGeom prst="rect">
          <a:avLst/>
        </a:prstGeom>
        <a:solidFill>
          <a:srgbClr val="92D050"/>
        </a:solidFill>
        <a:ln w="9525" cmpd="sng">
          <a:solidFill>
            <a:schemeClr val="lt1">
              <a:shade val="50000"/>
            </a:schemeClr>
          </a:solidFill>
        </a:ln>
        <a:effectLst>
          <a:softEdge rad="508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1"/>
            <a:t>PUNJAB SKILLS</a:t>
          </a:r>
        </a:p>
      </xdr:txBody>
    </xdr:sp>
    <xdr:clientData/>
  </xdr:twoCellAnchor>
  <xdr:twoCellAnchor>
    <xdr:from>
      <xdr:col>18</xdr:col>
      <xdr:colOff>257176</xdr:colOff>
      <xdr:row>15</xdr:row>
      <xdr:rowOff>52389</xdr:rowOff>
    </xdr:from>
    <xdr:to>
      <xdr:col>19</xdr:col>
      <xdr:colOff>549957</xdr:colOff>
      <xdr:row>16</xdr:row>
      <xdr:rowOff>113889</xdr:rowOff>
    </xdr:to>
    <xdr:sp macro="" textlink="">
      <xdr:nvSpPr>
        <xdr:cNvPr id="10" name="TextBox 11">
          <a:hlinkClick xmlns:r="http://schemas.openxmlformats.org/officeDocument/2006/relationships" r:id="rId6"/>
          <a:extLst>
            <a:ext uri="{FF2B5EF4-FFF2-40B4-BE49-F238E27FC236}">
              <a16:creationId xmlns:a16="http://schemas.microsoft.com/office/drawing/2014/main" id="{00000000-0008-0000-0000-00000A000000}"/>
            </a:ext>
            <a:ext uri="{147F2762-F138-4A5C-976F-8EAC2B608ADB}">
              <a16:predDERef xmlns:a16="http://schemas.microsoft.com/office/drawing/2014/main" pred="{D6198CC5-7C86-42BA-BDB6-4DDA1F8C1F02}"/>
            </a:ext>
          </a:extLst>
        </xdr:cNvPr>
        <xdr:cNvSpPr txBox="1"/>
      </xdr:nvSpPr>
      <xdr:spPr>
        <a:xfrm>
          <a:off x="11229976" y="2909889"/>
          <a:ext cx="902381" cy="252000"/>
        </a:xfrm>
        <a:prstGeom prst="rect">
          <a:avLst/>
        </a:prstGeom>
        <a:solidFill>
          <a:srgbClr val="92D050"/>
        </a:solidFill>
        <a:ln w="9525" cmpd="sng">
          <a:solidFill>
            <a:schemeClr val="lt1">
              <a:shade val="50000"/>
            </a:schemeClr>
          </a:solidFill>
        </a:ln>
        <a:effectLst>
          <a:softEdge rad="508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1"/>
            <a:t>DGR</a:t>
          </a:r>
        </a:p>
      </xdr:txBody>
    </xdr:sp>
    <xdr:clientData/>
  </xdr:twoCellAnchor>
  <xdr:twoCellAnchor>
    <xdr:from>
      <xdr:col>0</xdr:col>
      <xdr:colOff>35717</xdr:colOff>
      <xdr:row>21</xdr:row>
      <xdr:rowOff>64293</xdr:rowOff>
    </xdr:from>
    <xdr:to>
      <xdr:col>12</xdr:col>
      <xdr:colOff>11906</xdr:colOff>
      <xdr:row>38</xdr:row>
      <xdr:rowOff>65793</xdr:rowOff>
    </xdr:to>
    <xdr:graphicFrame macro="">
      <xdr:nvGraphicFramePr>
        <xdr:cNvPr id="12" name="Chart 2">
          <a:extLst>
            <a:ext uri="{FF2B5EF4-FFF2-40B4-BE49-F238E27FC236}">
              <a16:creationId xmlns:a16="http://schemas.microsoft.com/office/drawing/2014/main" id="{00000000-0008-0000-0000-00000C000000}"/>
            </a:ext>
            <a:ext uri="{147F2762-F138-4A5C-976F-8EAC2B608ADB}">
              <a16:predDERef xmlns:a16="http://schemas.microsoft.com/office/drawing/2014/main" pred="{54B63D6A-3D25-4C71-9C40-DF91157E43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119062</xdr:colOff>
      <xdr:row>21</xdr:row>
      <xdr:rowOff>64293</xdr:rowOff>
    </xdr:from>
    <xdr:to>
      <xdr:col>23</xdr:col>
      <xdr:colOff>535780</xdr:colOff>
      <xdr:row>38</xdr:row>
      <xdr:rowOff>65793</xdr:rowOff>
    </xdr:to>
    <xdr:graphicFrame macro="">
      <xdr:nvGraphicFramePr>
        <xdr:cNvPr id="13" name="Chart 13">
          <a:extLst>
            <a:ext uri="{FF2B5EF4-FFF2-40B4-BE49-F238E27FC236}">
              <a16:creationId xmlns:a16="http://schemas.microsoft.com/office/drawing/2014/main" id="{00000000-0008-0000-0000-00000D000000}"/>
            </a:ext>
            <a:ext uri="{147F2762-F138-4A5C-976F-8EAC2B608ADB}">
              <a16:predDERef xmlns:a16="http://schemas.microsoft.com/office/drawing/2014/main" pred="{389B73E8-B2E4-4924-B2F0-5D8E2C36AD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59530</xdr:colOff>
      <xdr:row>56</xdr:row>
      <xdr:rowOff>35718</xdr:rowOff>
    </xdr:from>
    <xdr:to>
      <xdr:col>15</xdr:col>
      <xdr:colOff>535780</xdr:colOff>
      <xdr:row>71</xdr:row>
      <xdr:rowOff>119062</xdr:rowOff>
    </xdr:to>
    <xdr:sp macro="" textlink="">
      <xdr:nvSpPr>
        <xdr:cNvPr id="14" name="TextBox 29">
          <a:extLst>
            <a:ext uri="{FF2B5EF4-FFF2-40B4-BE49-F238E27FC236}">
              <a16:creationId xmlns:a16="http://schemas.microsoft.com/office/drawing/2014/main" id="{00000000-0008-0000-0000-00000E000000}"/>
            </a:ext>
          </a:extLst>
        </xdr:cNvPr>
        <xdr:cNvSpPr txBox="1"/>
      </xdr:nvSpPr>
      <xdr:spPr>
        <a:xfrm>
          <a:off x="59530" y="10703718"/>
          <a:ext cx="9620250" cy="2940844"/>
        </a:xfrm>
        <a:prstGeom prst="rect">
          <a:avLst/>
        </a:prstGeom>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path path="rect">
            <a:fillToRect l="100000" t="100000"/>
          </a:path>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0</xdr:col>
      <xdr:colOff>130968</xdr:colOff>
      <xdr:row>56</xdr:row>
      <xdr:rowOff>130968</xdr:rowOff>
    </xdr:from>
    <xdr:to>
      <xdr:col>15</xdr:col>
      <xdr:colOff>404812</xdr:colOff>
      <xdr:row>58</xdr:row>
      <xdr:rowOff>107155</xdr:rowOff>
    </xdr:to>
    <xdr:sp macro="" textlink="">
      <xdr:nvSpPr>
        <xdr:cNvPr id="15" name="TextBox 30">
          <a:extLst>
            <a:ext uri="{FF2B5EF4-FFF2-40B4-BE49-F238E27FC236}">
              <a16:creationId xmlns:a16="http://schemas.microsoft.com/office/drawing/2014/main" id="{00000000-0008-0000-0000-00000F000000}"/>
            </a:ext>
          </a:extLst>
        </xdr:cNvPr>
        <xdr:cNvSpPr txBox="1"/>
      </xdr:nvSpPr>
      <xdr:spPr>
        <a:xfrm>
          <a:off x="130968" y="10798968"/>
          <a:ext cx="9417844" cy="3571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800" b="1" i="0">
              <a:solidFill>
                <a:schemeClr val="dk1"/>
              </a:solidFill>
              <a:effectLst/>
              <a:latin typeface="+mn-lt"/>
              <a:ea typeface="+mn-ea"/>
              <a:cs typeface="+mn-cs"/>
            </a:rPr>
            <a:t>Stages Check for Tenders</a:t>
          </a:r>
          <a:endParaRPr lang="en-IN" sz="1800" b="1">
            <a:effectLst/>
          </a:endParaRPr>
        </a:p>
        <a:p>
          <a:pPr algn="ctr"/>
          <a:endParaRPr lang="en-IN" sz="1800" b="1"/>
        </a:p>
      </xdr:txBody>
    </xdr:sp>
    <xdr:clientData/>
  </xdr:twoCellAnchor>
  <xdr:twoCellAnchor>
    <xdr:from>
      <xdr:col>2</xdr:col>
      <xdr:colOff>414337</xdr:colOff>
      <xdr:row>59</xdr:row>
      <xdr:rowOff>9526</xdr:rowOff>
    </xdr:from>
    <xdr:to>
      <xdr:col>4</xdr:col>
      <xdr:colOff>473869</xdr:colOff>
      <xdr:row>62</xdr:row>
      <xdr:rowOff>9526</xdr:rowOff>
    </xdr:to>
    <xdr:sp macro="" textlink="">
      <xdr:nvSpPr>
        <xdr:cNvPr id="16" name="TextBox 32">
          <a:extLst>
            <a:ext uri="{FF2B5EF4-FFF2-40B4-BE49-F238E27FC236}">
              <a16:creationId xmlns:a16="http://schemas.microsoft.com/office/drawing/2014/main" id="{00000000-0008-0000-0000-000010000000}"/>
            </a:ext>
          </a:extLst>
        </xdr:cNvPr>
        <xdr:cNvSpPr txBox="1"/>
      </xdr:nvSpPr>
      <xdr:spPr>
        <a:xfrm>
          <a:off x="1633537" y="11249026"/>
          <a:ext cx="1278732" cy="571500"/>
        </a:xfrm>
        <a:prstGeom prst="rect">
          <a:avLst/>
        </a:prstGeom>
        <a:pattFill prst="ltDnDiag">
          <a:fgClr>
            <a:srgbClr val="8CB6A9"/>
          </a:fgClr>
          <a:bgClr>
            <a:srgbClr val="92D050"/>
          </a:bgClr>
        </a:patt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400" b="1" i="1" u="none" strike="noStrike">
              <a:solidFill>
                <a:schemeClr val="dk1"/>
              </a:solidFill>
              <a:effectLst/>
              <a:latin typeface="+mn-lt"/>
              <a:ea typeface="+mn-ea"/>
              <a:cs typeface="+mn-cs"/>
            </a:rPr>
            <a:t>Management</a:t>
          </a:r>
          <a:r>
            <a:rPr lang="en-IN" sz="1400" b="1" i="1" u="none" strike="noStrike" baseline="0">
              <a:solidFill>
                <a:schemeClr val="dk1"/>
              </a:solidFill>
              <a:effectLst/>
              <a:latin typeface="+mn-lt"/>
              <a:ea typeface="+mn-ea"/>
              <a:cs typeface="+mn-cs"/>
            </a:rPr>
            <a:t> Approval</a:t>
          </a:r>
          <a:endParaRPr lang="en-IN" sz="1400" b="1" i="1" u="none" strike="noStrike">
            <a:solidFill>
              <a:schemeClr val="dk1"/>
            </a:solidFill>
            <a:effectLst/>
            <a:latin typeface="+mn-lt"/>
            <a:ea typeface="+mn-ea"/>
            <a:cs typeface="+mn-cs"/>
          </a:endParaRPr>
        </a:p>
      </xdr:txBody>
    </xdr:sp>
    <xdr:clientData/>
  </xdr:twoCellAnchor>
  <xdr:twoCellAnchor>
    <xdr:from>
      <xdr:col>5</xdr:col>
      <xdr:colOff>42863</xdr:colOff>
      <xdr:row>59</xdr:row>
      <xdr:rowOff>7144</xdr:rowOff>
    </xdr:from>
    <xdr:to>
      <xdr:col>7</xdr:col>
      <xdr:colOff>102395</xdr:colOff>
      <xdr:row>62</xdr:row>
      <xdr:rowOff>7144</xdr:rowOff>
    </xdr:to>
    <xdr:sp macro="" textlink="">
      <xdr:nvSpPr>
        <xdr:cNvPr id="17" name="TextBox 33">
          <a:extLst>
            <a:ext uri="{FF2B5EF4-FFF2-40B4-BE49-F238E27FC236}">
              <a16:creationId xmlns:a16="http://schemas.microsoft.com/office/drawing/2014/main" id="{00000000-0008-0000-0000-000011000000}"/>
            </a:ext>
          </a:extLst>
        </xdr:cNvPr>
        <xdr:cNvSpPr txBox="1"/>
      </xdr:nvSpPr>
      <xdr:spPr>
        <a:xfrm>
          <a:off x="3090863" y="11246644"/>
          <a:ext cx="1278732" cy="571500"/>
        </a:xfrm>
        <a:prstGeom prst="rect">
          <a:avLst/>
        </a:prstGeom>
        <a:pattFill prst="ltDnDiag">
          <a:fgClr>
            <a:srgbClr val="8CB6A9"/>
          </a:fgClr>
          <a:bgClr>
            <a:srgbClr val="92D050"/>
          </a:bgClr>
        </a:patt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400" b="1" i="1" u="none" strike="noStrike">
              <a:solidFill>
                <a:schemeClr val="dk1"/>
              </a:solidFill>
              <a:effectLst/>
              <a:latin typeface="+mn-lt"/>
              <a:ea typeface="+mn-ea"/>
              <a:cs typeface="+mn-cs"/>
            </a:rPr>
            <a:t>Technical Evaluation</a:t>
          </a:r>
        </a:p>
      </xdr:txBody>
    </xdr:sp>
    <xdr:clientData/>
  </xdr:twoCellAnchor>
  <xdr:twoCellAnchor>
    <xdr:from>
      <xdr:col>10</xdr:col>
      <xdr:colOff>138113</xdr:colOff>
      <xdr:row>59</xdr:row>
      <xdr:rowOff>26194</xdr:rowOff>
    </xdr:from>
    <xdr:to>
      <xdr:col>12</xdr:col>
      <xdr:colOff>197644</xdr:colOff>
      <xdr:row>62</xdr:row>
      <xdr:rowOff>26194</xdr:rowOff>
    </xdr:to>
    <xdr:sp macro="" textlink="">
      <xdr:nvSpPr>
        <xdr:cNvPr id="18" name="TextBox 35">
          <a:extLst>
            <a:ext uri="{FF2B5EF4-FFF2-40B4-BE49-F238E27FC236}">
              <a16:creationId xmlns:a16="http://schemas.microsoft.com/office/drawing/2014/main" id="{00000000-0008-0000-0000-000012000000}"/>
            </a:ext>
            <a:ext uri="{147F2762-F138-4A5C-976F-8EAC2B608ADB}">
              <a16:predDERef xmlns:a16="http://schemas.microsoft.com/office/drawing/2014/main" pred="{71D648CB-C73E-4C28-B4DD-62BF05F9F3C8}"/>
            </a:ext>
          </a:extLst>
        </xdr:cNvPr>
        <xdr:cNvSpPr txBox="1"/>
      </xdr:nvSpPr>
      <xdr:spPr>
        <a:xfrm>
          <a:off x="6234113" y="11265694"/>
          <a:ext cx="1278731" cy="571500"/>
        </a:xfrm>
        <a:prstGeom prst="rect">
          <a:avLst/>
        </a:prstGeom>
        <a:pattFill prst="ltDnDiag">
          <a:fgClr>
            <a:srgbClr val="8CB6A9"/>
          </a:fgClr>
          <a:bgClr>
            <a:srgbClr val="92D050"/>
          </a:bgClr>
        </a:patt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400" b="1" i="1" u="none" strike="noStrike">
              <a:solidFill>
                <a:schemeClr val="dk1"/>
              </a:solidFill>
              <a:effectLst/>
              <a:latin typeface="+mn-lt"/>
              <a:ea typeface="+mn-ea"/>
              <a:cs typeface="+mn-cs"/>
            </a:rPr>
            <a:t>Filed</a:t>
          </a:r>
        </a:p>
      </xdr:txBody>
    </xdr:sp>
    <xdr:clientData/>
  </xdr:twoCellAnchor>
  <xdr:twoCellAnchor>
    <xdr:from>
      <xdr:col>7</xdr:col>
      <xdr:colOff>416718</xdr:colOff>
      <xdr:row>59</xdr:row>
      <xdr:rowOff>26195</xdr:rowOff>
    </xdr:from>
    <xdr:to>
      <xdr:col>9</xdr:col>
      <xdr:colOff>542926</xdr:colOff>
      <xdr:row>62</xdr:row>
      <xdr:rowOff>26195</xdr:rowOff>
    </xdr:to>
    <xdr:sp macro="" textlink="">
      <xdr:nvSpPr>
        <xdr:cNvPr id="19" name="TextBox 36">
          <a:extLst>
            <a:ext uri="{FF2B5EF4-FFF2-40B4-BE49-F238E27FC236}">
              <a16:creationId xmlns:a16="http://schemas.microsoft.com/office/drawing/2014/main" id="{00000000-0008-0000-0000-000013000000}"/>
            </a:ext>
            <a:ext uri="{147F2762-F138-4A5C-976F-8EAC2B608ADB}">
              <a16:predDERef xmlns:a16="http://schemas.microsoft.com/office/drawing/2014/main" pred="{AE4DDF95-4975-49AD-865D-625F16F8028B}"/>
            </a:ext>
          </a:extLst>
        </xdr:cNvPr>
        <xdr:cNvSpPr txBox="1"/>
      </xdr:nvSpPr>
      <xdr:spPr>
        <a:xfrm>
          <a:off x="4683918" y="11265695"/>
          <a:ext cx="1345408" cy="571500"/>
        </a:xfrm>
        <a:prstGeom prst="rect">
          <a:avLst/>
        </a:prstGeom>
        <a:pattFill prst="ltDnDiag">
          <a:fgClr>
            <a:srgbClr val="8CB6A9"/>
          </a:fgClr>
          <a:bgClr>
            <a:srgbClr val="92D050"/>
          </a:bgClr>
        </a:patt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400" b="1" i="1" u="none" strike="noStrike">
              <a:solidFill>
                <a:schemeClr val="dk1"/>
              </a:solidFill>
              <a:effectLst/>
              <a:latin typeface="+mn-lt"/>
              <a:ea typeface="+mn-ea"/>
              <a:cs typeface="+mn-cs"/>
            </a:rPr>
            <a:t>Documentation</a:t>
          </a:r>
        </a:p>
      </xdr:txBody>
    </xdr:sp>
    <xdr:clientData/>
  </xdr:twoCellAnchor>
  <xdr:twoCellAnchor>
    <xdr:from>
      <xdr:col>0</xdr:col>
      <xdr:colOff>352424</xdr:colOff>
      <xdr:row>62</xdr:row>
      <xdr:rowOff>130968</xdr:rowOff>
    </xdr:from>
    <xdr:to>
      <xdr:col>2</xdr:col>
      <xdr:colOff>37987</xdr:colOff>
      <xdr:row>64</xdr:row>
      <xdr:rowOff>54771</xdr:rowOff>
    </xdr:to>
    <xdr:sp macro="" textlink="">
      <xdr:nvSpPr>
        <xdr:cNvPr id="20" name="TextBox 37">
          <a:extLst>
            <a:ext uri="{FF2B5EF4-FFF2-40B4-BE49-F238E27FC236}">
              <a16:creationId xmlns:a16="http://schemas.microsoft.com/office/drawing/2014/main" id="{00000000-0008-0000-0000-000014000000}"/>
            </a:ext>
          </a:extLst>
        </xdr:cNvPr>
        <xdr:cNvSpPr txBox="1"/>
      </xdr:nvSpPr>
      <xdr:spPr>
        <a:xfrm>
          <a:off x="352424" y="11941968"/>
          <a:ext cx="904763" cy="304803"/>
        </a:xfrm>
        <a:prstGeom prst="rect">
          <a:avLst/>
        </a:prstGeom>
        <a:solidFill>
          <a:srgbClr val="92D050"/>
        </a:solidFill>
        <a:ln w="9525" cmpd="sng">
          <a:solidFill>
            <a:schemeClr val="lt1">
              <a:shade val="50000"/>
            </a:schemeClr>
          </a:solidFill>
        </a:ln>
        <a:effectLst>
          <a:softEdge rad="508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1"/>
            <a:t>HARTRON</a:t>
          </a:r>
        </a:p>
      </xdr:txBody>
    </xdr:sp>
    <xdr:clientData/>
  </xdr:twoCellAnchor>
  <xdr:twoCellAnchor>
    <xdr:from>
      <xdr:col>0</xdr:col>
      <xdr:colOff>350042</xdr:colOff>
      <xdr:row>64</xdr:row>
      <xdr:rowOff>104775</xdr:rowOff>
    </xdr:from>
    <xdr:to>
      <xdr:col>2</xdr:col>
      <xdr:colOff>35605</xdr:colOff>
      <xdr:row>66</xdr:row>
      <xdr:rowOff>7147</xdr:rowOff>
    </xdr:to>
    <xdr:sp macro="" textlink="">
      <xdr:nvSpPr>
        <xdr:cNvPr id="21" name="TextBox 38">
          <a:extLst>
            <a:ext uri="{FF2B5EF4-FFF2-40B4-BE49-F238E27FC236}">
              <a16:creationId xmlns:a16="http://schemas.microsoft.com/office/drawing/2014/main" id="{00000000-0008-0000-0000-000015000000}"/>
            </a:ext>
          </a:extLst>
        </xdr:cNvPr>
        <xdr:cNvSpPr txBox="1"/>
      </xdr:nvSpPr>
      <xdr:spPr>
        <a:xfrm>
          <a:off x="350042" y="12296775"/>
          <a:ext cx="904763" cy="283372"/>
        </a:xfrm>
        <a:prstGeom prst="rect">
          <a:avLst/>
        </a:prstGeom>
        <a:solidFill>
          <a:srgbClr val="92D050"/>
        </a:solidFill>
        <a:ln w="9525" cmpd="sng">
          <a:solidFill>
            <a:schemeClr val="lt1">
              <a:shade val="50000"/>
            </a:schemeClr>
          </a:solidFill>
        </a:ln>
        <a:effectLst>
          <a:softEdge rad="508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1"/>
            <a:t>EPT</a:t>
          </a:r>
        </a:p>
      </xdr:txBody>
    </xdr:sp>
    <xdr:clientData/>
  </xdr:twoCellAnchor>
  <xdr:twoCellAnchor>
    <xdr:from>
      <xdr:col>0</xdr:col>
      <xdr:colOff>347661</xdr:colOff>
      <xdr:row>66</xdr:row>
      <xdr:rowOff>114300</xdr:rowOff>
    </xdr:from>
    <xdr:to>
      <xdr:col>2</xdr:col>
      <xdr:colOff>33224</xdr:colOff>
      <xdr:row>67</xdr:row>
      <xdr:rowOff>185740</xdr:rowOff>
    </xdr:to>
    <xdr:sp macro="" textlink="">
      <xdr:nvSpPr>
        <xdr:cNvPr id="22" name="TextBox 39">
          <a:extLst>
            <a:ext uri="{FF2B5EF4-FFF2-40B4-BE49-F238E27FC236}">
              <a16:creationId xmlns:a16="http://schemas.microsoft.com/office/drawing/2014/main" id="{00000000-0008-0000-0000-000016000000}"/>
            </a:ext>
          </a:extLst>
        </xdr:cNvPr>
        <xdr:cNvSpPr txBox="1"/>
      </xdr:nvSpPr>
      <xdr:spPr>
        <a:xfrm>
          <a:off x="347661" y="12687300"/>
          <a:ext cx="904763" cy="261940"/>
        </a:xfrm>
        <a:prstGeom prst="rect">
          <a:avLst/>
        </a:prstGeom>
        <a:solidFill>
          <a:srgbClr val="92D050"/>
        </a:solidFill>
        <a:ln w="9525" cmpd="sng">
          <a:solidFill>
            <a:schemeClr val="lt1">
              <a:shade val="50000"/>
            </a:schemeClr>
          </a:solidFill>
        </a:ln>
        <a:effectLst>
          <a:softEdge rad="508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1"/>
            <a:t>DGR</a:t>
          </a:r>
        </a:p>
      </xdr:txBody>
    </xdr:sp>
    <xdr:clientData/>
  </xdr:twoCellAnchor>
  <xdr:twoCellAnchor>
    <xdr:from>
      <xdr:col>0</xdr:col>
      <xdr:colOff>333373</xdr:colOff>
      <xdr:row>68</xdr:row>
      <xdr:rowOff>88106</xdr:rowOff>
    </xdr:from>
    <xdr:to>
      <xdr:col>2</xdr:col>
      <xdr:colOff>18936</xdr:colOff>
      <xdr:row>71</xdr:row>
      <xdr:rowOff>66677</xdr:rowOff>
    </xdr:to>
    <xdr:sp macro="" textlink="">
      <xdr:nvSpPr>
        <xdr:cNvPr id="23" name="TextBox 40">
          <a:extLst>
            <a:ext uri="{FF2B5EF4-FFF2-40B4-BE49-F238E27FC236}">
              <a16:creationId xmlns:a16="http://schemas.microsoft.com/office/drawing/2014/main" id="{00000000-0008-0000-0000-000017000000}"/>
            </a:ext>
          </a:extLst>
        </xdr:cNvPr>
        <xdr:cNvSpPr txBox="1"/>
      </xdr:nvSpPr>
      <xdr:spPr>
        <a:xfrm>
          <a:off x="333373" y="13042106"/>
          <a:ext cx="904763" cy="550071"/>
        </a:xfrm>
        <a:prstGeom prst="rect">
          <a:avLst/>
        </a:prstGeom>
        <a:solidFill>
          <a:srgbClr val="92D050"/>
        </a:solidFill>
        <a:ln w="9525" cmpd="sng">
          <a:solidFill>
            <a:schemeClr val="lt1">
              <a:shade val="50000"/>
            </a:schemeClr>
          </a:solidFill>
        </a:ln>
        <a:effectLst>
          <a:softEdge rad="508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1"/>
            <a:t>PUNJAB</a:t>
          </a:r>
          <a:r>
            <a:rPr lang="en-IN" sz="1200" b="1" i="1" baseline="0"/>
            <a:t> SKILLS</a:t>
          </a:r>
          <a:endParaRPr lang="en-IN" sz="1200" b="1" i="1"/>
        </a:p>
      </xdr:txBody>
    </xdr:sp>
    <xdr:clientData/>
  </xdr:twoCellAnchor>
  <xdr:twoCellAnchor editAs="oneCell">
    <xdr:from>
      <xdr:col>3</xdr:col>
      <xdr:colOff>166688</xdr:colOff>
      <xdr:row>62</xdr:row>
      <xdr:rowOff>107155</xdr:rowOff>
    </xdr:from>
    <xdr:to>
      <xdr:col>3</xdr:col>
      <xdr:colOff>500063</xdr:colOff>
      <xdr:row>64</xdr:row>
      <xdr:rowOff>59530</xdr:rowOff>
    </xdr:to>
    <xdr:pic>
      <xdr:nvPicPr>
        <xdr:cNvPr id="24" name="Graphic 47" descr="Checkbox Checked with solid fill">
          <a:extLst>
            <a:ext uri="{FF2B5EF4-FFF2-40B4-BE49-F238E27FC236}">
              <a16:creationId xmlns:a16="http://schemas.microsoft.com/office/drawing/2014/main" id="{00000000-0008-0000-0000-000018000000}"/>
            </a:ext>
            <a:ext uri="{147F2762-F138-4A5C-976F-8EAC2B608ADB}">
              <a16:predDERef xmlns:a16="http://schemas.microsoft.com/office/drawing/2014/main" pred="{7F20544B-086A-4297-B790-4366916C953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995488" y="11918155"/>
          <a:ext cx="333375" cy="333375"/>
        </a:xfrm>
        <a:prstGeom prst="rect">
          <a:avLst/>
        </a:prstGeom>
      </xdr:spPr>
    </xdr:pic>
    <xdr:clientData/>
  </xdr:twoCellAnchor>
  <xdr:twoCellAnchor editAs="oneCell">
    <xdr:from>
      <xdr:col>3</xdr:col>
      <xdr:colOff>164307</xdr:colOff>
      <xdr:row>64</xdr:row>
      <xdr:rowOff>69055</xdr:rowOff>
    </xdr:from>
    <xdr:to>
      <xdr:col>3</xdr:col>
      <xdr:colOff>497682</xdr:colOff>
      <xdr:row>66</xdr:row>
      <xdr:rowOff>21430</xdr:rowOff>
    </xdr:to>
    <xdr:pic>
      <xdr:nvPicPr>
        <xdr:cNvPr id="25" name="Graphic 48" descr="Checkbox Checked with solid fill">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993107" y="12261055"/>
          <a:ext cx="333375" cy="333375"/>
        </a:xfrm>
        <a:prstGeom prst="rect">
          <a:avLst/>
        </a:prstGeom>
      </xdr:spPr>
    </xdr:pic>
    <xdr:clientData/>
  </xdr:twoCellAnchor>
  <xdr:twoCellAnchor editAs="oneCell">
    <xdr:from>
      <xdr:col>3</xdr:col>
      <xdr:colOff>173832</xdr:colOff>
      <xdr:row>66</xdr:row>
      <xdr:rowOff>102392</xdr:rowOff>
    </xdr:from>
    <xdr:to>
      <xdr:col>3</xdr:col>
      <xdr:colOff>507207</xdr:colOff>
      <xdr:row>68</xdr:row>
      <xdr:rowOff>54767</xdr:rowOff>
    </xdr:to>
    <xdr:pic>
      <xdr:nvPicPr>
        <xdr:cNvPr id="26" name="Graphic 49" descr="Checkbox Checked with solid fill">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002632" y="12675392"/>
          <a:ext cx="333375" cy="333375"/>
        </a:xfrm>
        <a:prstGeom prst="rect">
          <a:avLst/>
        </a:prstGeom>
      </xdr:spPr>
    </xdr:pic>
    <xdr:clientData/>
  </xdr:twoCellAnchor>
  <xdr:twoCellAnchor editAs="oneCell">
    <xdr:from>
      <xdr:col>3</xdr:col>
      <xdr:colOff>195263</xdr:colOff>
      <xdr:row>68</xdr:row>
      <xdr:rowOff>135731</xdr:rowOff>
    </xdr:from>
    <xdr:to>
      <xdr:col>3</xdr:col>
      <xdr:colOff>528638</xdr:colOff>
      <xdr:row>70</xdr:row>
      <xdr:rowOff>88106</xdr:rowOff>
    </xdr:to>
    <xdr:pic>
      <xdr:nvPicPr>
        <xdr:cNvPr id="27" name="Graphic 50" descr="Checkbox Checked with solid fill">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024063" y="13089731"/>
          <a:ext cx="333375" cy="333375"/>
        </a:xfrm>
        <a:prstGeom prst="rect">
          <a:avLst/>
        </a:prstGeom>
      </xdr:spPr>
    </xdr:pic>
    <xdr:clientData/>
  </xdr:twoCellAnchor>
  <xdr:twoCellAnchor editAs="oneCell">
    <xdr:from>
      <xdr:col>7</xdr:col>
      <xdr:colOff>604838</xdr:colOff>
      <xdr:row>62</xdr:row>
      <xdr:rowOff>80962</xdr:rowOff>
    </xdr:from>
    <xdr:to>
      <xdr:col>8</xdr:col>
      <xdr:colOff>330994</xdr:colOff>
      <xdr:row>64</xdr:row>
      <xdr:rowOff>33337</xdr:rowOff>
    </xdr:to>
    <xdr:pic>
      <xdr:nvPicPr>
        <xdr:cNvPr id="28" name="Graphic 51" descr="Checkbox Checked with solid fill">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872038" y="11891962"/>
          <a:ext cx="335756" cy="333375"/>
        </a:xfrm>
        <a:prstGeom prst="rect">
          <a:avLst/>
        </a:prstGeom>
      </xdr:spPr>
    </xdr:pic>
    <xdr:clientData/>
  </xdr:twoCellAnchor>
  <xdr:twoCellAnchor editAs="oneCell">
    <xdr:from>
      <xdr:col>7</xdr:col>
      <xdr:colOff>602457</xdr:colOff>
      <xdr:row>64</xdr:row>
      <xdr:rowOff>42862</xdr:rowOff>
    </xdr:from>
    <xdr:to>
      <xdr:col>8</xdr:col>
      <xdr:colOff>328613</xdr:colOff>
      <xdr:row>66</xdr:row>
      <xdr:rowOff>4762</xdr:rowOff>
    </xdr:to>
    <xdr:pic>
      <xdr:nvPicPr>
        <xdr:cNvPr id="29" name="Graphic 52" descr="Checkbox Checked with solid fill">
          <a:extLst>
            <a:ext uri="{FF2B5EF4-FFF2-40B4-BE49-F238E27FC236}">
              <a16:creationId xmlns:a16="http://schemas.microsoft.com/office/drawing/2014/main" id="{00000000-0008-0000-0000-00001D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869657" y="12234862"/>
          <a:ext cx="335756" cy="333375"/>
        </a:xfrm>
        <a:prstGeom prst="rect">
          <a:avLst/>
        </a:prstGeom>
      </xdr:spPr>
    </xdr:pic>
    <xdr:clientData/>
  </xdr:twoCellAnchor>
  <xdr:twoCellAnchor editAs="oneCell">
    <xdr:from>
      <xdr:col>8</xdr:col>
      <xdr:colOff>4763</xdr:colOff>
      <xdr:row>66</xdr:row>
      <xdr:rowOff>76199</xdr:rowOff>
    </xdr:from>
    <xdr:to>
      <xdr:col>8</xdr:col>
      <xdr:colOff>338138</xdr:colOff>
      <xdr:row>68</xdr:row>
      <xdr:rowOff>28574</xdr:rowOff>
    </xdr:to>
    <xdr:pic>
      <xdr:nvPicPr>
        <xdr:cNvPr id="30" name="Graphic 53" descr="Checkbox Checked with solid fill">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881563" y="12649199"/>
          <a:ext cx="333375" cy="333375"/>
        </a:xfrm>
        <a:prstGeom prst="rect">
          <a:avLst/>
        </a:prstGeom>
      </xdr:spPr>
    </xdr:pic>
    <xdr:clientData/>
  </xdr:twoCellAnchor>
  <xdr:twoCellAnchor editAs="oneCell">
    <xdr:from>
      <xdr:col>8</xdr:col>
      <xdr:colOff>26194</xdr:colOff>
      <xdr:row>68</xdr:row>
      <xdr:rowOff>109538</xdr:rowOff>
    </xdr:from>
    <xdr:to>
      <xdr:col>8</xdr:col>
      <xdr:colOff>359569</xdr:colOff>
      <xdr:row>70</xdr:row>
      <xdr:rowOff>61913</xdr:rowOff>
    </xdr:to>
    <xdr:pic>
      <xdr:nvPicPr>
        <xdr:cNvPr id="31" name="Graphic 54" descr="Checkbox Checked with solid fill">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902994" y="13063538"/>
          <a:ext cx="333375" cy="333375"/>
        </a:xfrm>
        <a:prstGeom prst="rect">
          <a:avLst/>
        </a:prstGeom>
      </xdr:spPr>
    </xdr:pic>
    <xdr:clientData/>
  </xdr:twoCellAnchor>
  <xdr:twoCellAnchor editAs="oneCell">
    <xdr:from>
      <xdr:col>10</xdr:col>
      <xdr:colOff>383379</xdr:colOff>
      <xdr:row>62</xdr:row>
      <xdr:rowOff>59531</xdr:rowOff>
    </xdr:from>
    <xdr:to>
      <xdr:col>11</xdr:col>
      <xdr:colOff>109536</xdr:colOff>
      <xdr:row>64</xdr:row>
      <xdr:rowOff>11906</xdr:rowOff>
    </xdr:to>
    <xdr:pic>
      <xdr:nvPicPr>
        <xdr:cNvPr id="32" name="Graphic 55" descr="Checkbox Checked with solid fill">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479379" y="11870531"/>
          <a:ext cx="335757" cy="333375"/>
        </a:xfrm>
        <a:prstGeom prst="rect">
          <a:avLst/>
        </a:prstGeom>
      </xdr:spPr>
    </xdr:pic>
    <xdr:clientData/>
  </xdr:twoCellAnchor>
  <xdr:twoCellAnchor editAs="oneCell">
    <xdr:from>
      <xdr:col>10</xdr:col>
      <xdr:colOff>380998</xdr:colOff>
      <xdr:row>64</xdr:row>
      <xdr:rowOff>21431</xdr:rowOff>
    </xdr:from>
    <xdr:to>
      <xdr:col>11</xdr:col>
      <xdr:colOff>107155</xdr:colOff>
      <xdr:row>65</xdr:row>
      <xdr:rowOff>164306</xdr:rowOff>
    </xdr:to>
    <xdr:pic>
      <xdr:nvPicPr>
        <xdr:cNvPr id="33" name="Graphic 56" descr="Checkbox Checked with solid fill">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476998" y="12213431"/>
          <a:ext cx="335757" cy="333375"/>
        </a:xfrm>
        <a:prstGeom prst="rect">
          <a:avLst/>
        </a:prstGeom>
      </xdr:spPr>
    </xdr:pic>
    <xdr:clientData/>
  </xdr:twoCellAnchor>
  <xdr:twoCellAnchor editAs="oneCell">
    <xdr:from>
      <xdr:col>10</xdr:col>
      <xdr:colOff>390523</xdr:colOff>
      <xdr:row>66</xdr:row>
      <xdr:rowOff>54768</xdr:rowOff>
    </xdr:from>
    <xdr:to>
      <xdr:col>11</xdr:col>
      <xdr:colOff>116680</xdr:colOff>
      <xdr:row>68</xdr:row>
      <xdr:rowOff>7143</xdr:rowOff>
    </xdr:to>
    <xdr:pic>
      <xdr:nvPicPr>
        <xdr:cNvPr id="34" name="Graphic 57" descr="Checkbox Checked with solid fill">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486523" y="12627768"/>
          <a:ext cx="335757" cy="333375"/>
        </a:xfrm>
        <a:prstGeom prst="rect">
          <a:avLst/>
        </a:prstGeom>
      </xdr:spPr>
    </xdr:pic>
    <xdr:clientData/>
  </xdr:twoCellAnchor>
  <xdr:twoCellAnchor editAs="oneCell">
    <xdr:from>
      <xdr:col>10</xdr:col>
      <xdr:colOff>411954</xdr:colOff>
      <xdr:row>68</xdr:row>
      <xdr:rowOff>88107</xdr:rowOff>
    </xdr:from>
    <xdr:to>
      <xdr:col>11</xdr:col>
      <xdr:colOff>138111</xdr:colOff>
      <xdr:row>70</xdr:row>
      <xdr:rowOff>40482</xdr:rowOff>
    </xdr:to>
    <xdr:pic>
      <xdr:nvPicPr>
        <xdr:cNvPr id="35" name="Graphic 58" descr="Checkbox Checked with solid fill">
          <a:extLst>
            <a:ext uri="{FF2B5EF4-FFF2-40B4-BE49-F238E27FC236}">
              <a16:creationId xmlns:a16="http://schemas.microsoft.com/office/drawing/2014/main" id="{00000000-0008-0000-0000-000023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507954" y="13042107"/>
          <a:ext cx="335757" cy="333375"/>
        </a:xfrm>
        <a:prstGeom prst="rect">
          <a:avLst/>
        </a:prstGeom>
      </xdr:spPr>
    </xdr:pic>
    <xdr:clientData/>
  </xdr:twoCellAnchor>
  <xdr:twoCellAnchor>
    <xdr:from>
      <xdr:col>16</xdr:col>
      <xdr:colOff>33336</xdr:colOff>
      <xdr:row>56</xdr:row>
      <xdr:rowOff>33337</xdr:rowOff>
    </xdr:from>
    <xdr:to>
      <xdr:col>23</xdr:col>
      <xdr:colOff>547688</xdr:colOff>
      <xdr:row>71</xdr:row>
      <xdr:rowOff>116681</xdr:rowOff>
    </xdr:to>
    <xdr:sp macro="" textlink="">
      <xdr:nvSpPr>
        <xdr:cNvPr id="36" name="TextBox 59">
          <a:extLst>
            <a:ext uri="{FF2B5EF4-FFF2-40B4-BE49-F238E27FC236}">
              <a16:creationId xmlns:a16="http://schemas.microsoft.com/office/drawing/2014/main" id="{00000000-0008-0000-0000-000024000000}"/>
            </a:ext>
          </a:extLst>
        </xdr:cNvPr>
        <xdr:cNvSpPr txBox="1"/>
      </xdr:nvSpPr>
      <xdr:spPr>
        <a:xfrm>
          <a:off x="9786936" y="10701337"/>
          <a:ext cx="4781552" cy="2940844"/>
        </a:xfrm>
        <a:prstGeom prst="rect">
          <a:avLst/>
        </a:prstGeom>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path path="rect">
            <a:fillToRect l="100000" t="100000"/>
          </a:path>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16</xdr:col>
      <xdr:colOff>273843</xdr:colOff>
      <xdr:row>58</xdr:row>
      <xdr:rowOff>154780</xdr:rowOff>
    </xdr:from>
    <xdr:to>
      <xdr:col>23</xdr:col>
      <xdr:colOff>392905</xdr:colOff>
      <xdr:row>71</xdr:row>
      <xdr:rowOff>23811</xdr:rowOff>
    </xdr:to>
    <xdr:graphicFrame macro="">
      <xdr:nvGraphicFramePr>
        <xdr:cNvPr id="38" name="Chart 62">
          <a:extLst>
            <a:ext uri="{FF2B5EF4-FFF2-40B4-BE49-F238E27FC236}">
              <a16:creationId xmlns:a16="http://schemas.microsoft.com/office/drawing/2014/main" id="{00000000-0008-0000-0000-000026000000}"/>
            </a:ext>
            <a:ext uri="{147F2762-F138-4A5C-976F-8EAC2B608ADB}">
              <a16:predDERef xmlns:a16="http://schemas.microsoft.com/office/drawing/2014/main" pred="{BD554F36-0398-4C9B-80B7-1C2D381BB4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485775</xdr:colOff>
      <xdr:row>59</xdr:row>
      <xdr:rowOff>47625</xdr:rowOff>
    </xdr:from>
    <xdr:to>
      <xdr:col>14</xdr:col>
      <xdr:colOff>485775</xdr:colOff>
      <xdr:row>62</xdr:row>
      <xdr:rowOff>9525</xdr:rowOff>
    </xdr:to>
    <xdr:sp macro="" textlink="">
      <xdr:nvSpPr>
        <xdr:cNvPr id="39" name="TextBox 14">
          <a:extLst>
            <a:ext uri="{FF2B5EF4-FFF2-40B4-BE49-F238E27FC236}">
              <a16:creationId xmlns:a16="http://schemas.microsoft.com/office/drawing/2014/main" id="{00000000-0008-0000-0000-000027000000}"/>
            </a:ext>
            <a:ext uri="{147F2762-F138-4A5C-976F-8EAC2B608ADB}">
              <a16:predDERef xmlns:a16="http://schemas.microsoft.com/office/drawing/2014/main" pred="{54D34335-7C45-446C-9D09-E8CC88170FCE}"/>
            </a:ext>
          </a:extLst>
        </xdr:cNvPr>
        <xdr:cNvSpPr txBox="1"/>
      </xdr:nvSpPr>
      <xdr:spPr>
        <a:xfrm>
          <a:off x="7800975" y="11287125"/>
          <a:ext cx="1219200" cy="533400"/>
        </a:xfrm>
        <a:prstGeom prst="rect">
          <a:avLst/>
        </a:prstGeom>
        <a:pattFill prst="ltDnDiag">
          <a:fgClr>
            <a:srgbClr val="8CB6A9"/>
          </a:fgClr>
          <a:bgClr>
            <a:srgbClr val="92D050"/>
          </a:bgClr>
        </a:patt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l"/>
          <a:r>
            <a:rPr lang="en-US" sz="1400" b="1" i="1" u="none" strike="noStrike">
              <a:solidFill>
                <a:schemeClr val="dk1"/>
              </a:solidFill>
              <a:latin typeface="+mn-lt"/>
              <a:ea typeface="+mn-lt"/>
              <a:cs typeface="+mn-lt"/>
            </a:rPr>
            <a:t>Query responded</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34</xdr:row>
      <xdr:rowOff>59055</xdr:rowOff>
    </xdr:from>
    <xdr:to>
      <xdr:col>10</xdr:col>
      <xdr:colOff>1198245</xdr:colOff>
      <xdr:row>90</xdr:row>
      <xdr:rowOff>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0" y="6705600"/>
          <a:ext cx="17345025" cy="10601325"/>
        </a:xfrm>
        <a:prstGeom prst="rect">
          <a:avLst/>
        </a:prstGeom>
        <a:solidFill>
          <a:srgbClr val="8CB6A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endParaRPr lang="en-US" sz="2800" b="1" i="1">
            <a:solidFill>
              <a:schemeClr val="dk1"/>
            </a:solidFill>
            <a:latin typeface="+mn-lt"/>
            <a:ea typeface="+mn-lt"/>
            <a:cs typeface="+mn-lt"/>
          </a:endParaRPr>
        </a:p>
      </xdr:txBody>
    </xdr:sp>
    <xdr:clientData/>
  </xdr:twoCellAnchor>
  <xdr:twoCellAnchor editAs="absolute">
    <xdr:from>
      <xdr:col>9</xdr:col>
      <xdr:colOff>2800350</xdr:colOff>
      <xdr:row>68</xdr:row>
      <xdr:rowOff>30480</xdr:rowOff>
    </xdr:from>
    <xdr:to>
      <xdr:col>10</xdr:col>
      <xdr:colOff>1283970</xdr:colOff>
      <xdr:row>84</xdr:row>
      <xdr:rowOff>144780</xdr:rowOff>
    </xdr:to>
    <xdr:graphicFrame macro="">
      <xdr:nvGraphicFramePr>
        <xdr:cNvPr id="5" name="Chart 4">
          <a:extLst>
            <a:ext uri="{FF2B5EF4-FFF2-40B4-BE49-F238E27FC236}">
              <a16:creationId xmlns:a16="http://schemas.microsoft.com/office/drawing/2014/main" id="{00000000-0008-0000-0100-000005000000}"/>
            </a:ext>
            <a:ext uri="{147F2762-F138-4A5C-976F-8EAC2B608ADB}">
              <a16:predDERef xmlns:a16="http://schemas.microsoft.com/office/drawing/2014/main" pred="{47CAC64B-097D-B6CD-FCEE-7C76CB18AE36}"/>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142875</xdr:colOff>
      <xdr:row>43</xdr:row>
      <xdr:rowOff>97155</xdr:rowOff>
    </xdr:from>
    <xdr:to>
      <xdr:col>10</xdr:col>
      <xdr:colOff>1303020</xdr:colOff>
      <xdr:row>67</xdr:row>
      <xdr:rowOff>97155</xdr:rowOff>
    </xdr:to>
    <xdr:graphicFrame macro="">
      <xdr:nvGraphicFramePr>
        <xdr:cNvPr id="6" name="Chart 5">
          <a:extLst>
            <a:ext uri="{FF2B5EF4-FFF2-40B4-BE49-F238E27FC236}">
              <a16:creationId xmlns:a16="http://schemas.microsoft.com/office/drawing/2014/main" id="{00000000-0008-0000-0100-000006000000}"/>
            </a:ext>
            <a:ext uri="{147F2762-F138-4A5C-976F-8EAC2B608ADB}">
              <a16:predDERef xmlns:a16="http://schemas.microsoft.com/office/drawing/2014/main" pred="{A869224D-1461-40E8-8FF0-BB9C6BAE83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4</xdr:col>
      <xdr:colOff>361950</xdr:colOff>
      <xdr:row>0</xdr:row>
      <xdr:rowOff>57150</xdr:rowOff>
    </xdr:from>
    <xdr:to>
      <xdr:col>9</xdr:col>
      <xdr:colOff>1123950</xdr:colOff>
      <xdr:row>2</xdr:row>
      <xdr:rowOff>180975</xdr:rowOff>
    </xdr:to>
    <xdr:sp macro="" textlink="">
      <xdr:nvSpPr>
        <xdr:cNvPr id="7" name="TextBox 6">
          <a:extLst>
            <a:ext uri="{FF2B5EF4-FFF2-40B4-BE49-F238E27FC236}">
              <a16:creationId xmlns:a16="http://schemas.microsoft.com/office/drawing/2014/main" id="{00000000-0008-0000-0100-000007000000}"/>
            </a:ext>
            <a:ext uri="{147F2762-F138-4A5C-976F-8EAC2B608ADB}">
              <a16:predDERef xmlns:a16="http://schemas.microsoft.com/office/drawing/2014/main" pred="{1C529A6B-7F04-4284-ABE5-99BF83DAF30B}"/>
            </a:ext>
          </a:extLst>
        </xdr:cNvPr>
        <xdr:cNvSpPr txBox="1"/>
      </xdr:nvSpPr>
      <xdr:spPr>
        <a:xfrm>
          <a:off x="4457700" y="57150"/>
          <a:ext cx="5324475" cy="533400"/>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3600" b="1" i="0">
              <a:solidFill>
                <a:schemeClr val="tx1"/>
              </a:solidFill>
              <a:effectLst/>
            </a:rPr>
            <a:t>TENDER</a:t>
          </a:r>
          <a:r>
            <a:rPr lang="en-IN" sz="3600" b="1" i="0" baseline="0">
              <a:solidFill>
                <a:schemeClr val="tx1"/>
              </a:solidFill>
              <a:effectLst/>
            </a:rPr>
            <a:t> DASHBOARD</a:t>
          </a:r>
          <a:endParaRPr lang="en-IN" sz="3600" b="1" i="0">
            <a:solidFill>
              <a:schemeClr val="tx1"/>
            </a:solidFill>
            <a:effectLst/>
          </a:endParaRPr>
        </a:p>
      </xdr:txBody>
    </xdr:sp>
    <xdr:clientData/>
  </xdr:twoCellAnchor>
  <xdr:twoCellAnchor editAs="absolute">
    <xdr:from>
      <xdr:col>0</xdr:col>
      <xdr:colOff>95250</xdr:colOff>
      <xdr:row>27</xdr:row>
      <xdr:rowOff>106680</xdr:rowOff>
    </xdr:from>
    <xdr:to>
      <xdr:col>8</xdr:col>
      <xdr:colOff>438150</xdr:colOff>
      <xdr:row>43</xdr:row>
      <xdr:rowOff>0</xdr:rowOff>
    </xdr:to>
    <xdr:graphicFrame macro="">
      <xdr:nvGraphicFramePr>
        <xdr:cNvPr id="3" name="Chart 2">
          <a:extLst>
            <a:ext uri="{FF2B5EF4-FFF2-40B4-BE49-F238E27FC236}">
              <a16:creationId xmlns:a16="http://schemas.microsoft.com/office/drawing/2014/main" id="{00000000-0008-0000-0100-000003000000}"/>
            </a:ext>
            <a:ext uri="{147F2762-F138-4A5C-976F-8EAC2B608ADB}">
              <a16:predDERef xmlns:a16="http://schemas.microsoft.com/office/drawing/2014/main" pred="{995988C8-D8D6-8A4D-6454-3E628137E5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47625</xdr:colOff>
      <xdr:row>4</xdr:row>
      <xdr:rowOff>19050</xdr:rowOff>
    </xdr:from>
    <xdr:to>
      <xdr:col>8</xdr:col>
      <xdr:colOff>466725</xdr:colOff>
      <xdr:row>27</xdr:row>
      <xdr:rowOff>19050</xdr:rowOff>
    </xdr:to>
    <xdr:graphicFrame macro="">
      <xdr:nvGraphicFramePr>
        <xdr:cNvPr id="8" name="Chart 7">
          <a:extLst>
            <a:ext uri="{FF2B5EF4-FFF2-40B4-BE49-F238E27FC236}">
              <a16:creationId xmlns:a16="http://schemas.microsoft.com/office/drawing/2014/main" id="{00000000-0008-0000-0100-000008000000}"/>
            </a:ext>
            <a:ext uri="{147F2762-F138-4A5C-976F-8EAC2B608ADB}">
              <a16:predDERef xmlns:a16="http://schemas.microsoft.com/office/drawing/2014/main" pred="{EAA6B3D7-FFE5-4FFA-9EC5-259D219B9D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0</xdr:col>
      <xdr:colOff>190500</xdr:colOff>
      <xdr:row>70</xdr:row>
      <xdr:rowOff>154305</xdr:rowOff>
    </xdr:from>
    <xdr:to>
      <xdr:col>4</xdr:col>
      <xdr:colOff>1323975</xdr:colOff>
      <xdr:row>88</xdr:row>
      <xdr:rowOff>0</xdr:rowOff>
    </xdr:to>
    <xdr:graphicFrame macro="">
      <xdr:nvGraphicFramePr>
        <xdr:cNvPr id="11" name="a">
          <a:extLst>
            <a:ext uri="{FF2B5EF4-FFF2-40B4-BE49-F238E27FC236}">
              <a16:creationId xmlns:a16="http://schemas.microsoft.com/office/drawing/2014/main" id="{00000000-0008-0000-0100-00000B000000}"/>
            </a:ext>
            <a:ext uri="{147F2762-F138-4A5C-976F-8EAC2B608ADB}">
              <a16:predDERef xmlns:a16="http://schemas.microsoft.com/office/drawing/2014/main" pred="{E6DE74FE-AA95-47AD-AAFC-7C4717D120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762000</xdr:colOff>
      <xdr:row>5</xdr:row>
      <xdr:rowOff>19050</xdr:rowOff>
    </xdr:from>
    <xdr:to>
      <xdr:col>13</xdr:col>
      <xdr:colOff>1123950</xdr:colOff>
      <xdr:row>6</xdr:row>
      <xdr:rowOff>171450</xdr:rowOff>
    </xdr:to>
    <xdr:sp macro="" textlink="">
      <xdr:nvSpPr>
        <xdr:cNvPr id="13" name="TextBox 12">
          <a:extLst>
            <a:ext uri="{FF2B5EF4-FFF2-40B4-BE49-F238E27FC236}">
              <a16:creationId xmlns:a16="http://schemas.microsoft.com/office/drawing/2014/main" id="{00000000-0008-0000-0100-00000D000000}"/>
            </a:ext>
            <a:ext uri="{147F2762-F138-4A5C-976F-8EAC2B608ADB}">
              <a16:predDERef xmlns:a16="http://schemas.microsoft.com/office/drawing/2014/main" pred="{837477E3-1191-4329-B5F0-0F3013E5D734}"/>
            </a:ext>
          </a:extLst>
        </xdr:cNvPr>
        <xdr:cNvSpPr txBox="1"/>
      </xdr:nvSpPr>
      <xdr:spPr>
        <a:xfrm>
          <a:off x="9420225" y="971550"/>
          <a:ext cx="8153400" cy="342900"/>
        </a:xfrm>
        <a:prstGeom prst="rect">
          <a:avLst/>
        </a:prstGeom>
        <a:solidFill>
          <a:srgbClr val="A5D6C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a:t>Final Status Of Active/Filed</a:t>
          </a:r>
          <a:r>
            <a:rPr lang="en-IN" sz="1600" b="1" baseline="0"/>
            <a:t> Tenders</a:t>
          </a:r>
          <a:endParaRPr lang="en-IN" sz="1600" b="1"/>
        </a:p>
      </xdr:txBody>
    </xdr:sp>
    <xdr:clientData/>
  </xdr:twoCellAnchor>
  <xdr:twoCellAnchor>
    <xdr:from>
      <xdr:col>4</xdr:col>
      <xdr:colOff>1447800</xdr:colOff>
      <xdr:row>71</xdr:row>
      <xdr:rowOff>114300</xdr:rowOff>
    </xdr:from>
    <xdr:to>
      <xdr:col>9</xdr:col>
      <xdr:colOff>2686050</xdr:colOff>
      <xdr:row>89</xdr:row>
      <xdr:rowOff>38100</xdr:rowOff>
    </xdr:to>
    <xdr:graphicFrame macro="">
      <xdr:nvGraphicFramePr>
        <xdr:cNvPr id="17" name="Chart 8">
          <a:extLst>
            <a:ext uri="{FF2B5EF4-FFF2-40B4-BE49-F238E27FC236}">
              <a16:creationId xmlns:a16="http://schemas.microsoft.com/office/drawing/2014/main" id="{00000000-0008-0000-0100-000011000000}"/>
            </a:ext>
            <a:ext uri="{147F2762-F138-4A5C-976F-8EAC2B608ADB}">
              <a16:predDERef xmlns:a16="http://schemas.microsoft.com/office/drawing/2014/main" pred="{936DB894-0873-922A-7DEE-EF70457F7131}"/>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762000</xdr:colOff>
      <xdr:row>72</xdr:row>
      <xdr:rowOff>104775</xdr:rowOff>
    </xdr:from>
    <xdr:to>
      <xdr:col>4</xdr:col>
      <xdr:colOff>1266825</xdr:colOff>
      <xdr:row>74</xdr:row>
      <xdr:rowOff>47625</xdr:rowOff>
    </xdr:to>
    <xdr:sp macro="" textlink="">
      <xdr:nvSpPr>
        <xdr:cNvPr id="12" name="TextBox 11">
          <a:extLst>
            <a:ext uri="{FF2B5EF4-FFF2-40B4-BE49-F238E27FC236}">
              <a16:creationId xmlns:a16="http://schemas.microsoft.com/office/drawing/2014/main" id="{00000000-0008-0000-0100-00000C000000}"/>
            </a:ext>
            <a:ext uri="{147F2762-F138-4A5C-976F-8EAC2B608ADB}">
              <a16:predDERef xmlns:a16="http://schemas.microsoft.com/office/drawing/2014/main" pred="{ABEFC3C0-CD01-47F6-A30C-6F5BF387AF65}"/>
            </a:ext>
          </a:extLst>
        </xdr:cNvPr>
        <xdr:cNvSpPr txBox="1"/>
      </xdr:nvSpPr>
      <xdr:spPr>
        <a:xfrm>
          <a:off x="3524250" y="14020800"/>
          <a:ext cx="1838325" cy="323850"/>
        </a:xfrm>
        <a:prstGeom prst="rect">
          <a:avLst/>
        </a:prstGeom>
        <a:solidFill>
          <a:srgbClr val="D9D9D9"/>
        </a:solidFill>
        <a:ln w="9525" cmpd="sng">
          <a:solidFill>
            <a:schemeClr val="lt1">
              <a:shade val="50000"/>
            </a:schemeClr>
          </a:solidFill>
        </a:ln>
      </xdr:spPr>
      <xdr:txBody>
        <a:bodyPr vertOverflow="clip" horzOverflow="clip" rtlCol="0" anchor="t"/>
        <a:lstStyle/>
        <a:p>
          <a:pPr marL="0" indent="0" algn="l"/>
          <a:r>
            <a:rPr lang="en-US" sz="1100">
              <a:latin typeface="+mn-lt"/>
              <a:ea typeface="+mn-lt"/>
              <a:cs typeface="+mn-lt"/>
            </a:rPr>
            <a:t>Click here to view the details</a:t>
          </a:r>
        </a:p>
      </xdr:txBody>
    </xdr:sp>
    <xdr:clientData/>
  </xdr:twoCellAnchor>
  <xdr:twoCellAnchor>
    <xdr:from>
      <xdr:col>8</xdr:col>
      <xdr:colOff>571500</xdr:colOff>
      <xdr:row>19</xdr:row>
      <xdr:rowOff>19050</xdr:rowOff>
    </xdr:from>
    <xdr:to>
      <xdr:col>13</xdr:col>
      <xdr:colOff>1000125</xdr:colOff>
      <xdr:row>41</xdr:row>
      <xdr:rowOff>123825</xdr:rowOff>
    </xdr:to>
    <xdr:graphicFrame macro="">
      <xdr:nvGraphicFramePr>
        <xdr:cNvPr id="16" name="Chart 15">
          <a:extLst>
            <a:ext uri="{FF2B5EF4-FFF2-40B4-BE49-F238E27FC236}">
              <a16:creationId xmlns:a16="http://schemas.microsoft.com/office/drawing/2014/main" id="{00000000-0008-0000-0100-000010000000}"/>
            </a:ext>
            <a:ext uri="{147F2762-F138-4A5C-976F-8EAC2B608ADB}">
              <a16:predDERef xmlns:a16="http://schemas.microsoft.com/office/drawing/2014/main" pred="{D6E051F4-B3A3-242A-A9C6-F13D58C4CA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266700</xdr:colOff>
      <xdr:row>72</xdr:row>
      <xdr:rowOff>38100</xdr:rowOff>
    </xdr:from>
    <xdr:to>
      <xdr:col>4</xdr:col>
      <xdr:colOff>57150</xdr:colOff>
      <xdr:row>74</xdr:row>
      <xdr:rowOff>123825</xdr:rowOff>
    </xdr:to>
    <xdr:sp macro="" textlink="">
      <xdr:nvSpPr>
        <xdr:cNvPr id="4" name="TextBox 3">
          <a:hlinkClick xmlns:r="http://schemas.openxmlformats.org/officeDocument/2006/relationships" r:id="rId8"/>
          <a:extLst>
            <a:ext uri="{FF2B5EF4-FFF2-40B4-BE49-F238E27FC236}">
              <a16:creationId xmlns:a16="http://schemas.microsoft.com/office/drawing/2014/main" id="{00000000-0008-0000-0100-000004000000}"/>
            </a:ext>
            <a:ext uri="{147F2762-F138-4A5C-976F-8EAC2B608ADB}">
              <a16:predDERef xmlns:a16="http://schemas.microsoft.com/office/drawing/2014/main" pred="{3AA152C8-5F7B-42B9-B668-7AFCC2DB1F4B}"/>
            </a:ext>
          </a:extLst>
        </xdr:cNvPr>
        <xdr:cNvSpPr txBox="1"/>
      </xdr:nvSpPr>
      <xdr:spPr>
        <a:xfrm>
          <a:off x="266700" y="13954125"/>
          <a:ext cx="3886200"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IN" sz="2000" b="1" i="1" u="none">
              <a:solidFill>
                <a:sysClr val="windowText" lastClr="000000"/>
              </a:solidFill>
            </a:rPr>
            <a:t>Qualifying</a:t>
          </a:r>
          <a:r>
            <a:rPr lang="en-IN" sz="2000" b="1" i="1" u="none" baseline="0">
              <a:solidFill>
                <a:sysClr val="windowText" lastClr="000000"/>
              </a:solidFill>
            </a:rPr>
            <a:t> Parameters</a:t>
          </a:r>
          <a:endParaRPr lang="en-IN" sz="2000" b="1" i="1" u="none">
            <a:solidFill>
              <a:sysClr val="windowText" lastClr="000000"/>
            </a:solidFill>
          </a:endParaRPr>
        </a:p>
      </xdr:txBody>
    </xdr:sp>
    <xdr:clientData/>
  </xdr:twoCellAnchor>
</xdr:wsDr>
</file>

<file path=xl/drawings/drawing3.xml><?xml version="1.0" encoding="utf-8"?>
<c:userShapes xmlns:c="http://schemas.openxmlformats.org/drawingml/2006/chart">
  <cdr:relSizeAnchor xmlns:cdr="http://schemas.openxmlformats.org/drawingml/2006/chartDrawing">
    <cdr:from>
      <cdr:x>0.18509</cdr:x>
      <cdr:y>0.02007</cdr:y>
    </cdr:from>
    <cdr:to>
      <cdr:x>0.77892</cdr:x>
      <cdr:y>0.13378</cdr:y>
    </cdr:to>
    <cdr:sp macro="" textlink="">
      <cdr:nvSpPr>
        <cdr:cNvPr id="2" name="TextBox 1">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16B90741-89B2-51B3-36E0-5F4C56FA29FA}"/>
            </a:ext>
          </a:extLst>
        </cdr:cNvPr>
        <cdr:cNvSpPr txBox="1"/>
      </cdr:nvSpPr>
      <cdr:spPr>
        <a:xfrm xmlns:a="http://schemas.openxmlformats.org/drawingml/2006/main">
          <a:off x="857252" y="71439"/>
          <a:ext cx="2750343" cy="40481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marR="0" lvl="0" indent="0" algn="ctr" defTabSz="914400" rtl="0" eaLnBrk="1" fontAlgn="auto" latinLnBrk="0" hangingPunct="1">
            <a:lnSpc>
              <a:spcPct val="100000"/>
            </a:lnSpc>
            <a:spcBef>
              <a:spcPts val="0"/>
            </a:spcBef>
            <a:spcAft>
              <a:spcPts val="0"/>
            </a:spcAft>
            <a:buClrTx/>
            <a:buSzTx/>
            <a:buFontTx/>
            <a:buNone/>
            <a:tabLst/>
            <a:defRPr/>
          </a:pPr>
          <a:r>
            <a:rPr lang="en-IN" sz="1800" b="1" i="0" baseline="0">
              <a:solidFill>
                <a:sysClr val="windowText" lastClr="000000"/>
              </a:solidFill>
              <a:effectLst/>
              <a:latin typeface="+mn-lt"/>
              <a:ea typeface="+mn-ea"/>
              <a:cs typeface="+mn-cs"/>
            </a:rPr>
            <a:t>Qualifying Parameters</a:t>
          </a:r>
          <a:endParaRPr lang="en-IN" sz="1800">
            <a:solidFill>
              <a:sysClr val="windowText" lastClr="000000"/>
            </a:solidFill>
            <a:effectLst/>
          </a:endParaRPr>
        </a:p>
        <a:p xmlns:a="http://schemas.openxmlformats.org/drawingml/2006/main">
          <a:pPr algn="ctr"/>
          <a:endParaRPr lang="en-IN" sz="1800">
            <a:solidFill>
              <a:sysClr val="windowText" lastClr="000000"/>
            </a:solidFill>
          </a:endParaRPr>
        </a:p>
      </cdr:txBody>
    </cdr:sp>
  </cdr:relSizeAnchor>
</c:userShapes>
</file>

<file path=xl/drawings/drawing4.xml><?xml version="1.0" encoding="utf-8"?>
<xdr:wsDr xmlns:xdr="http://schemas.openxmlformats.org/drawingml/2006/spreadsheetDrawing" xmlns:a="http://schemas.openxmlformats.org/drawingml/2006/main">
  <xdr:twoCellAnchor>
    <xdr:from>
      <xdr:col>0</xdr:col>
      <xdr:colOff>1349829</xdr:colOff>
      <xdr:row>9</xdr:row>
      <xdr:rowOff>152401</xdr:rowOff>
    </xdr:from>
    <xdr:to>
      <xdr:col>12</xdr:col>
      <xdr:colOff>131717</xdr:colOff>
      <xdr:row>60</xdr:row>
      <xdr:rowOff>19595</xdr:rowOff>
    </xdr:to>
    <xdr:grpSp>
      <xdr:nvGrpSpPr>
        <xdr:cNvPr id="11" name="Group 10">
          <a:extLst>
            <a:ext uri="{FF2B5EF4-FFF2-40B4-BE49-F238E27FC236}">
              <a16:creationId xmlns:a16="http://schemas.microsoft.com/office/drawing/2014/main" id="{00000000-0008-0000-0200-00000B000000}"/>
            </a:ext>
          </a:extLst>
        </xdr:cNvPr>
        <xdr:cNvGrpSpPr/>
      </xdr:nvGrpSpPr>
      <xdr:grpSpPr>
        <a:xfrm>
          <a:off x="1349829" y="1817915"/>
          <a:ext cx="14598831" cy="9305109"/>
          <a:chOff x="304800" y="3494314"/>
          <a:chExt cx="17048117" cy="9305109"/>
        </a:xfrm>
      </xdr:grpSpPr>
      <mc:AlternateContent xmlns:mc="http://schemas.openxmlformats.org/markup-compatibility/2006" xmlns:a14="http://schemas.microsoft.com/office/drawing/2010/main">
        <mc:Choice Requires="a14">
          <xdr:graphicFrame macro="">
            <xdr:nvGraphicFramePr>
              <xdr:cNvPr id="2" name="Active/Inactive 1">
                <a:extLst>
                  <a:ext uri="{FF2B5EF4-FFF2-40B4-BE49-F238E27FC236}">
                    <a16:creationId xmlns:a16="http://schemas.microsoft.com/office/drawing/2014/main" id="{00000000-0008-0000-0200-000002000000}"/>
                  </a:ext>
                </a:extLst>
              </xdr:cNvPr>
              <xdr:cNvGraphicFramePr/>
            </xdr:nvGraphicFramePr>
            <xdr:xfrm>
              <a:off x="912222" y="3703320"/>
              <a:ext cx="11998234" cy="640080"/>
            </xdr:xfrm>
            <a:graphic>
              <a:graphicData uri="http://schemas.microsoft.com/office/drawing/2010/slicer">
                <sle:slicer xmlns:sle="http://schemas.microsoft.com/office/drawing/2010/slicer" name="Active/Inactive 1"/>
              </a:graphicData>
            </a:graphic>
          </xdr:graphicFrame>
        </mc:Choice>
        <mc:Fallback xmlns="">
          <xdr:sp macro="" textlink="">
            <xdr:nvSpPr>
              <xdr:cNvPr id="0" name=""/>
              <xdr:cNvSpPr>
                <a:spLocks noTextEdit="1"/>
              </xdr:cNvSpPr>
            </xdr:nvSpPr>
            <xdr:spPr>
              <a:xfrm>
                <a:off x="1968887" y="2026921"/>
                <a:ext cx="12228070" cy="640080"/>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00000000-0008-0000-0200-000003000000}"/>
                  </a:ext>
                </a:extLst>
              </xdr:cNvPr>
              <xdr:cNvGraphicFramePr/>
            </xdr:nvGraphicFramePr>
            <xdr:xfrm>
              <a:off x="2392682" y="3494314"/>
              <a:ext cx="1834787" cy="3396344"/>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3477706" y="1817915"/>
                <a:ext cx="1869934" cy="3396344"/>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Name of Tendering authority">
                <a:extLst>
                  <a:ext uri="{FF2B5EF4-FFF2-40B4-BE49-F238E27FC236}">
                    <a16:creationId xmlns:a16="http://schemas.microsoft.com/office/drawing/2014/main" id="{00000000-0008-0000-0200-000004000000}"/>
                  </a:ext>
                </a:extLst>
              </xdr:cNvPr>
              <xdr:cNvGraphicFramePr/>
            </xdr:nvGraphicFramePr>
            <xdr:xfrm>
              <a:off x="6965768" y="4585064"/>
              <a:ext cx="1828800" cy="2495278"/>
            </xdr:xfrm>
            <a:graphic>
              <a:graphicData uri="http://schemas.microsoft.com/office/drawing/2010/slicer">
                <sle:slicer xmlns:sle="http://schemas.microsoft.com/office/drawing/2010/slicer" name="Name of Tendering authority"/>
              </a:graphicData>
            </a:graphic>
          </xdr:graphicFrame>
        </mc:Choice>
        <mc:Fallback xmlns="">
          <xdr:sp macro="" textlink="">
            <xdr:nvSpPr>
              <xdr:cNvPr id="0" name=""/>
              <xdr:cNvSpPr>
                <a:spLocks noTextEdit="1"/>
              </xdr:cNvSpPr>
            </xdr:nvSpPr>
            <xdr:spPr>
              <a:xfrm>
                <a:off x="8138393" y="2908665"/>
                <a:ext cx="1863832" cy="2495278"/>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Primary reason of disqualification">
                <a:extLst>
                  <a:ext uri="{FF2B5EF4-FFF2-40B4-BE49-F238E27FC236}">
                    <a16:creationId xmlns:a16="http://schemas.microsoft.com/office/drawing/2014/main" id="{00000000-0008-0000-0200-000005000000}"/>
                  </a:ext>
                </a:extLst>
              </xdr:cNvPr>
              <xdr:cNvGraphicFramePr/>
            </xdr:nvGraphicFramePr>
            <xdr:xfrm>
              <a:off x="2143397" y="7326084"/>
              <a:ext cx="1829888" cy="2495278"/>
            </xdr:xfrm>
            <a:graphic>
              <a:graphicData uri="http://schemas.microsoft.com/office/drawing/2010/slicer">
                <sle:slicer xmlns:sle="http://schemas.microsoft.com/office/drawing/2010/slicer" name="Primary reason of disqualification"/>
              </a:graphicData>
            </a:graphic>
          </xdr:graphicFrame>
        </mc:Choice>
        <mc:Fallback xmlns="">
          <xdr:sp macro="" textlink="">
            <xdr:nvSpPr>
              <xdr:cNvPr id="0" name=""/>
              <xdr:cNvSpPr>
                <a:spLocks noTextEdit="1"/>
              </xdr:cNvSpPr>
            </xdr:nvSpPr>
            <xdr:spPr>
              <a:xfrm>
                <a:off x="3223646" y="5649685"/>
                <a:ext cx="1864941" cy="2495278"/>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14566175" y="6137909"/>
          <a:ext cx="2786742" cy="2775857"/>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7304315" y="9386207"/>
          <a:ext cx="5921829" cy="3413216"/>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304800" y="9918519"/>
          <a:ext cx="4354286" cy="2775857"/>
        </xdr:xfrm>
        <a:graphic>
          <a:graphicData uri="http://schemas.openxmlformats.org/drawingml/2006/chart">
            <c:chart xmlns:c="http://schemas.openxmlformats.org/drawingml/2006/chart" xmlns:r="http://schemas.openxmlformats.org/officeDocument/2006/relationships" r:id="rId3"/>
          </a:graphicData>
        </a:graphic>
      </xdr:graphicFrame>
      <mc:AlternateContent xmlns:mc="http://schemas.openxmlformats.org/markup-compatibility/2006" xmlns:tsle="http://schemas.microsoft.com/office/drawing/2012/timeslicer">
        <mc:Choice Requires="tsle">
          <xdr:graphicFrame macro="">
            <xdr:nvGraphicFramePr>
              <xdr:cNvPr id="10" name="Date received">
                <a:extLst>
                  <a:ext uri="{FF2B5EF4-FFF2-40B4-BE49-F238E27FC236}">
                    <a16:creationId xmlns:a16="http://schemas.microsoft.com/office/drawing/2014/main" id="{00000000-0008-0000-0200-00000A000000}"/>
                  </a:ext>
                </a:extLst>
              </xdr:cNvPr>
              <xdr:cNvGraphicFramePr/>
            </xdr:nvGraphicFramePr>
            <xdr:xfrm>
              <a:off x="7024551" y="7278189"/>
              <a:ext cx="3337560" cy="1371600"/>
            </xdr:xfrm>
            <a:graphic>
              <a:graphicData uri="http://schemas.microsoft.com/office/drawing/2012/timeslicer">
                <tsle:timeslicer name="Date received"/>
              </a:graphicData>
            </a:graphic>
          </xdr:graphicFrame>
        </mc:Choice>
        <mc:Fallback xmlns="">
          <xdr:sp macro="" textlink="">
            <xdr:nvSpPr>
              <xdr:cNvPr id="0" name=""/>
              <xdr:cNvSpPr>
                <a:spLocks noTextEdit="1"/>
              </xdr:cNvSpPr>
            </xdr:nvSpPr>
            <xdr:spPr>
              <a:xfrm>
                <a:off x="8198302" y="5601790"/>
                <a:ext cx="3401494" cy="1371600"/>
              </a:xfrm>
              <a:prstGeom prst="rect">
                <a:avLst/>
              </a:prstGeom>
              <a:solidFill>
                <a:prstClr val="white"/>
              </a:solidFill>
              <a:ln w="1">
                <a:solidFill>
                  <a:prstClr val="green"/>
                </a:solidFill>
              </a:ln>
            </xdr:spPr>
            <xdr:txBody>
              <a:bodyPr vertOverflow="clip" horzOverflow="clip"/>
              <a:lstStyle/>
              <a:p>
                <a:r>
                  <a:rPr lang="fr-FR" sz="1100"/>
                  <a:t>Timeline: Works in Excel 2013 or higher. Do not move or resize.</a:t>
                </a:r>
              </a:p>
            </xdr:txBody>
          </xdr:sp>
        </mc:Fallback>
      </mc:AlternateContent>
    </xdr:grpSp>
    <xdr:clientData/>
  </xdr:twoCellAnchor>
  <xdr:twoCellAnchor editAs="oneCell">
    <xdr:from>
      <xdr:col>6</xdr:col>
      <xdr:colOff>1459775</xdr:colOff>
      <xdr:row>23</xdr:row>
      <xdr:rowOff>162198</xdr:rowOff>
    </xdr:from>
    <xdr:to>
      <xdr:col>10</xdr:col>
      <xdr:colOff>1301932</xdr:colOff>
      <xdr:row>30</xdr:row>
      <xdr:rowOff>43544</xdr:rowOff>
    </xdr:to>
    <mc:AlternateContent xmlns:mc="http://schemas.openxmlformats.org/markup-compatibility/2006" xmlns:a14="http://schemas.microsoft.com/office/drawing/2010/main">
      <mc:Choice Requires="a14">
        <xdr:graphicFrame macro="">
          <xdr:nvGraphicFramePr>
            <xdr:cNvPr id="12" name="Date received (Month/Year)">
              <a:extLst>
                <a:ext uri="{FF2B5EF4-FFF2-40B4-BE49-F238E27FC236}">
                  <a16:creationId xmlns:a16="http://schemas.microsoft.com/office/drawing/2014/main" id="{00000000-0008-0000-0200-00000C000000}"/>
                </a:ext>
              </a:extLst>
            </xdr:cNvPr>
            <xdr:cNvGraphicFramePr/>
          </xdr:nvGraphicFramePr>
          <xdr:xfrm>
            <a:off x="0" y="0"/>
            <a:ext cx="0" cy="0"/>
          </xdr:xfrm>
          <a:graphic>
            <a:graphicData uri="http://schemas.microsoft.com/office/drawing/2010/slicer">
              <sle:slicer xmlns:sle="http://schemas.microsoft.com/office/drawing/2010/slicer" name="Date received (Month/Year)"/>
            </a:graphicData>
          </a:graphic>
        </xdr:graphicFrame>
      </mc:Choice>
      <mc:Fallback xmlns="">
        <xdr:sp macro="" textlink="">
          <xdr:nvSpPr>
            <xdr:cNvPr id="0" name=""/>
            <xdr:cNvSpPr>
              <a:spLocks noTextEdit="1"/>
            </xdr:cNvSpPr>
          </xdr:nvSpPr>
          <xdr:spPr>
            <a:xfrm>
              <a:off x="11637918" y="4418512"/>
              <a:ext cx="3308168" cy="1176746"/>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40</xdr:col>
      <xdr:colOff>1143001</xdr:colOff>
      <xdr:row>20</xdr:row>
      <xdr:rowOff>97971</xdr:rowOff>
    </xdr:from>
    <xdr:to>
      <xdr:col>46</xdr:col>
      <xdr:colOff>6117772</xdr:colOff>
      <xdr:row>45</xdr:row>
      <xdr:rowOff>103415</xdr:rowOff>
    </xdr:to>
    <xdr:graphicFrame macro="">
      <xdr:nvGraphicFramePr>
        <xdr:cNvPr id="15" name="Chart 14">
          <a:extLst>
            <a:ext uri="{FF2B5EF4-FFF2-40B4-BE49-F238E27FC236}">
              <a16:creationId xmlns:a16="http://schemas.microsoft.com/office/drawing/2014/main" id="{00000000-0008-0000-02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47</xdr:col>
      <xdr:colOff>132522</xdr:colOff>
      <xdr:row>62</xdr:row>
      <xdr:rowOff>132522</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0" y="0"/>
          <a:ext cx="28679913" cy="11772348"/>
        </a:xfrm>
        <a:prstGeom prst="rect">
          <a:avLst/>
        </a:prstGeom>
      </xdr:spPr>
    </xdr:pic>
    <xdr:clientData/>
  </xdr:twoCellAnchor>
  <xdr:twoCellAnchor>
    <xdr:from>
      <xdr:col>5</xdr:col>
      <xdr:colOff>412614</xdr:colOff>
      <xdr:row>1</xdr:row>
      <xdr:rowOff>27358</xdr:rowOff>
    </xdr:from>
    <xdr:to>
      <xdr:col>23</xdr:col>
      <xdr:colOff>102951</xdr:colOff>
      <xdr:row>6</xdr:row>
      <xdr:rowOff>9524</xdr:rowOff>
    </xdr:to>
    <xdr:sp macro="" textlink="">
      <xdr:nvSpPr>
        <xdr:cNvPr id="3" name="Rounded Rectangle 2">
          <a:extLst>
            <a:ext uri="{FF2B5EF4-FFF2-40B4-BE49-F238E27FC236}">
              <a16:creationId xmlns:a16="http://schemas.microsoft.com/office/drawing/2014/main" id="{00000000-0008-0000-0300-000003000000}"/>
            </a:ext>
          </a:extLst>
        </xdr:cNvPr>
        <xdr:cNvSpPr/>
      </xdr:nvSpPr>
      <xdr:spPr>
        <a:xfrm>
          <a:off x="3460614" y="210238"/>
          <a:ext cx="10663137" cy="896566"/>
        </a:xfrm>
        <a:prstGeom prst="roundRect">
          <a:avLst/>
        </a:prstGeom>
        <a:solidFill>
          <a:schemeClr val="accent4">
            <a:lumMod val="20000"/>
            <a:lumOff val="80000"/>
          </a:schemeClr>
        </a:solidFill>
        <a:ln/>
      </xdr:spPr>
      <xdr:style>
        <a:lnRef idx="0">
          <a:schemeClr val="accent4"/>
        </a:lnRef>
        <a:fillRef idx="3">
          <a:schemeClr val="accent4"/>
        </a:fillRef>
        <a:effectRef idx="3">
          <a:schemeClr val="accent4"/>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4400">
              <a:solidFill>
                <a:sysClr val="windowText" lastClr="000000"/>
              </a:solidFill>
              <a:latin typeface="Arial Black" panose="020B0A04020102020204" pitchFamily="34" charset="0"/>
            </a:rPr>
            <a:t>TENDER</a:t>
          </a:r>
          <a:r>
            <a:rPr lang="fr-FR" sz="4400" baseline="0">
              <a:solidFill>
                <a:sysClr val="windowText" lastClr="000000"/>
              </a:solidFill>
              <a:latin typeface="Arial Black" panose="020B0A04020102020204" pitchFamily="34" charset="0"/>
            </a:rPr>
            <a:t> DASHBOARD</a:t>
          </a:r>
          <a:endParaRPr lang="fr-FR" sz="4400">
            <a:solidFill>
              <a:sysClr val="windowText" lastClr="000000"/>
            </a:solidFill>
            <a:latin typeface="Arial Black" panose="020B0A04020102020204" pitchFamily="34" charset="0"/>
          </a:endParaRPr>
        </a:p>
      </xdr:txBody>
    </xdr:sp>
    <xdr:clientData/>
  </xdr:twoCellAnchor>
  <xdr:twoCellAnchor>
    <xdr:from>
      <xdr:col>5</xdr:col>
      <xdr:colOff>418896</xdr:colOff>
      <xdr:row>7</xdr:row>
      <xdr:rowOff>86333</xdr:rowOff>
    </xdr:from>
    <xdr:to>
      <xdr:col>29</xdr:col>
      <xdr:colOff>605344</xdr:colOff>
      <xdr:row>12</xdr:row>
      <xdr:rowOff>78226</xdr:rowOff>
    </xdr:to>
    <xdr:sp macro="" textlink="">
      <xdr:nvSpPr>
        <xdr:cNvPr id="4" name="Rounded Rectangle 3">
          <a:extLst>
            <a:ext uri="{FF2B5EF4-FFF2-40B4-BE49-F238E27FC236}">
              <a16:creationId xmlns:a16="http://schemas.microsoft.com/office/drawing/2014/main" id="{00000000-0008-0000-0300-000004000000}"/>
            </a:ext>
          </a:extLst>
        </xdr:cNvPr>
        <xdr:cNvSpPr/>
      </xdr:nvSpPr>
      <xdr:spPr>
        <a:xfrm>
          <a:off x="3466896" y="1366493"/>
          <a:ext cx="14816848" cy="906293"/>
        </a:xfrm>
        <a:prstGeom prst="roundRect">
          <a:avLst/>
        </a:prstGeom>
        <a:solidFill>
          <a:schemeClr val="accent4">
            <a:lumMod val="20000"/>
            <a:lumOff val="80000"/>
          </a:schemeClr>
        </a:solidFill>
        <a:ln/>
      </xdr:spPr>
      <xdr:style>
        <a:lnRef idx="0">
          <a:schemeClr val="accent4"/>
        </a:lnRef>
        <a:fillRef idx="3">
          <a:schemeClr val="accent4"/>
        </a:fillRef>
        <a:effectRef idx="3">
          <a:schemeClr val="accent4"/>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5</xdr:col>
      <xdr:colOff>568362</xdr:colOff>
      <xdr:row>8</xdr:row>
      <xdr:rowOff>2639</xdr:rowOff>
    </xdr:from>
    <xdr:to>
      <xdr:col>29</xdr:col>
      <xdr:colOff>406234</xdr:colOff>
      <xdr:row>11</xdr:row>
      <xdr:rowOff>153091</xdr:rowOff>
    </xdr:to>
    <mc:AlternateContent xmlns:mc="http://schemas.openxmlformats.org/markup-compatibility/2006" xmlns:a14="http://schemas.microsoft.com/office/drawing/2010/main">
      <mc:Choice Requires="a14">
        <xdr:graphicFrame macro="">
          <xdr:nvGraphicFramePr>
            <xdr:cNvPr id="5" name="Active/Inactive 3">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0/slicer">
              <sle:slicer xmlns:sle="http://schemas.microsoft.com/office/drawing/2010/slicer" name="Active/Inactive 3"/>
            </a:graphicData>
          </a:graphic>
        </xdr:graphicFrame>
      </mc:Choice>
      <mc:Fallback xmlns="">
        <xdr:sp macro="" textlink="">
          <xdr:nvSpPr>
            <xdr:cNvPr id="0" name=""/>
            <xdr:cNvSpPr>
              <a:spLocks noTextEdit="1"/>
            </xdr:cNvSpPr>
          </xdr:nvSpPr>
          <xdr:spPr>
            <a:xfrm>
              <a:off x="3605319" y="1504552"/>
              <a:ext cx="14415263" cy="713669"/>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471792</xdr:colOff>
      <xdr:row>13</xdr:row>
      <xdr:rowOff>132537</xdr:rowOff>
    </xdr:from>
    <xdr:to>
      <xdr:col>9</xdr:col>
      <xdr:colOff>342089</xdr:colOff>
      <xdr:row>33</xdr:row>
      <xdr:rowOff>51476</xdr:rowOff>
    </xdr:to>
    <xdr:sp macro="" textlink="">
      <xdr:nvSpPr>
        <xdr:cNvPr id="6" name="Rounded Rectangle 5">
          <a:extLst>
            <a:ext uri="{FF2B5EF4-FFF2-40B4-BE49-F238E27FC236}">
              <a16:creationId xmlns:a16="http://schemas.microsoft.com/office/drawing/2014/main" id="{00000000-0008-0000-0300-000006000000}"/>
            </a:ext>
          </a:extLst>
        </xdr:cNvPr>
        <xdr:cNvSpPr/>
      </xdr:nvSpPr>
      <xdr:spPr>
        <a:xfrm>
          <a:off x="3519792" y="2509977"/>
          <a:ext cx="2308697" cy="3576539"/>
        </a:xfrm>
        <a:prstGeom prst="roundRect">
          <a:avLst>
            <a:gd name="adj" fmla="val 7184"/>
          </a:avLst>
        </a:prstGeom>
        <a:solidFill>
          <a:schemeClr val="accent4">
            <a:lumMod val="20000"/>
            <a:lumOff val="80000"/>
          </a:schemeClr>
        </a:solidFill>
        <a:ln/>
      </xdr:spPr>
      <xdr:style>
        <a:lnRef idx="0">
          <a:schemeClr val="accent4"/>
        </a:lnRef>
        <a:fillRef idx="3">
          <a:schemeClr val="accent4"/>
        </a:fillRef>
        <a:effectRef idx="3">
          <a:schemeClr val="accent4"/>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5</xdr:col>
      <xdr:colOff>577176</xdr:colOff>
      <xdr:row>14</xdr:row>
      <xdr:rowOff>116327</xdr:rowOff>
    </xdr:from>
    <xdr:to>
      <xdr:col>9</xdr:col>
      <xdr:colOff>202660</xdr:colOff>
      <xdr:row>32</xdr:row>
      <xdr:rowOff>156628</xdr:rowOff>
    </xdr:to>
    <mc:AlternateContent xmlns:mc="http://schemas.openxmlformats.org/markup-compatibility/2006" xmlns:a14="http://schemas.microsoft.com/office/drawing/2010/main">
      <mc:Choice Requires="a14">
        <xdr:graphicFrame macro="">
          <xdr:nvGraphicFramePr>
            <xdr:cNvPr id="7" name="Source 2">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3625176" y="2605527"/>
              <a:ext cx="2063884" cy="3240701"/>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23</xdr:col>
      <xdr:colOff>363768</xdr:colOff>
      <xdr:row>1</xdr:row>
      <xdr:rowOff>17833</xdr:rowOff>
    </xdr:from>
    <xdr:to>
      <xdr:col>29</xdr:col>
      <xdr:colOff>590748</xdr:colOff>
      <xdr:row>5</xdr:row>
      <xdr:rowOff>180974</xdr:rowOff>
    </xdr:to>
    <xdr:sp macro="" textlink="">
      <xdr:nvSpPr>
        <xdr:cNvPr id="8" name="Rounded Rectangle 7">
          <a:extLst>
            <a:ext uri="{FF2B5EF4-FFF2-40B4-BE49-F238E27FC236}">
              <a16:creationId xmlns:a16="http://schemas.microsoft.com/office/drawing/2014/main" id="{00000000-0008-0000-0300-000008000000}"/>
            </a:ext>
          </a:extLst>
        </xdr:cNvPr>
        <xdr:cNvSpPr/>
      </xdr:nvSpPr>
      <xdr:spPr>
        <a:xfrm>
          <a:off x="14333768" y="205572"/>
          <a:ext cx="3871328" cy="914098"/>
        </a:xfrm>
        <a:prstGeom prst="roundRect">
          <a:avLst/>
        </a:prstGeom>
        <a:solidFill>
          <a:schemeClr val="accent4">
            <a:lumMod val="20000"/>
            <a:lumOff val="80000"/>
          </a:schemeClr>
        </a:solidFill>
        <a:ln/>
      </xdr:spPr>
      <xdr:style>
        <a:lnRef idx="0">
          <a:schemeClr val="accent4"/>
        </a:lnRef>
        <a:fillRef idx="3">
          <a:schemeClr val="accent4"/>
        </a:fillRef>
        <a:effectRef idx="3">
          <a:schemeClr val="accent4"/>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editAs="oneCell">
    <xdr:from>
      <xdr:col>25</xdr:col>
      <xdr:colOff>430694</xdr:colOff>
      <xdr:row>2</xdr:row>
      <xdr:rowOff>22088</xdr:rowOff>
    </xdr:from>
    <xdr:to>
      <xdr:col>29</xdr:col>
      <xdr:colOff>408608</xdr:colOff>
      <xdr:row>5</xdr:row>
      <xdr:rowOff>0</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2"/>
        <a:stretch>
          <a:fillRect/>
        </a:stretch>
      </xdr:blipFill>
      <xdr:spPr>
        <a:xfrm>
          <a:off x="15615477" y="397566"/>
          <a:ext cx="2407479" cy="541130"/>
        </a:xfrm>
        <a:prstGeom prst="rect">
          <a:avLst/>
        </a:prstGeom>
      </xdr:spPr>
    </xdr:pic>
    <xdr:clientData/>
  </xdr:twoCellAnchor>
  <xdr:twoCellAnchor>
    <xdr:from>
      <xdr:col>20</xdr:col>
      <xdr:colOff>431259</xdr:colOff>
      <xdr:row>13</xdr:row>
      <xdr:rowOff>173070</xdr:rowOff>
    </xdr:from>
    <xdr:to>
      <xdr:col>29</xdr:col>
      <xdr:colOff>569069</xdr:colOff>
      <xdr:row>28</xdr:row>
      <xdr:rowOff>100113</xdr:rowOff>
    </xdr:to>
    <xdr:sp macro="" textlink="">
      <xdr:nvSpPr>
        <xdr:cNvPr id="10" name="Rounded Rectangle 9">
          <a:extLst>
            <a:ext uri="{FF2B5EF4-FFF2-40B4-BE49-F238E27FC236}">
              <a16:creationId xmlns:a16="http://schemas.microsoft.com/office/drawing/2014/main" id="{00000000-0008-0000-0300-00000A000000}"/>
            </a:ext>
          </a:extLst>
        </xdr:cNvPr>
        <xdr:cNvSpPr/>
      </xdr:nvSpPr>
      <xdr:spPr>
        <a:xfrm>
          <a:off x="12623259" y="2550510"/>
          <a:ext cx="5624210" cy="2670243"/>
        </a:xfrm>
        <a:prstGeom prst="roundRect">
          <a:avLst>
            <a:gd name="adj" fmla="val 3422"/>
          </a:avLst>
        </a:prstGeom>
        <a:solidFill>
          <a:schemeClr val="accent4">
            <a:lumMod val="20000"/>
            <a:lumOff val="80000"/>
          </a:schemeClr>
        </a:solidFill>
        <a:ln/>
      </xdr:spPr>
      <xdr:style>
        <a:lnRef idx="0">
          <a:schemeClr val="accent4"/>
        </a:lnRef>
        <a:fillRef idx="3">
          <a:schemeClr val="accent4"/>
        </a:fillRef>
        <a:effectRef idx="3">
          <a:schemeClr val="accent4"/>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20</xdr:col>
      <xdr:colOff>520431</xdr:colOff>
      <xdr:row>14</xdr:row>
      <xdr:rowOff>108221</xdr:rowOff>
    </xdr:from>
    <xdr:to>
      <xdr:col>29</xdr:col>
      <xdr:colOff>463686</xdr:colOff>
      <xdr:row>27</xdr:row>
      <xdr:rowOff>179690</xdr:rowOff>
    </xdr:to>
    <mc:AlternateContent xmlns:mc="http://schemas.openxmlformats.org/markup-compatibility/2006" xmlns:a14="http://schemas.microsoft.com/office/drawing/2010/main">
      <mc:Choice Requires="a14">
        <xdr:graphicFrame macro="">
          <xdr:nvGraphicFramePr>
            <xdr:cNvPr id="11" name="Name of Tendering authority 2">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microsoft.com/office/drawing/2010/slicer">
              <sle:slicer xmlns:sle="http://schemas.microsoft.com/office/drawing/2010/slicer" name="Name of Tendering authority 2"/>
            </a:graphicData>
          </a:graphic>
        </xdr:graphicFrame>
      </mc:Choice>
      <mc:Fallback xmlns="">
        <xdr:sp macro="" textlink="">
          <xdr:nvSpPr>
            <xdr:cNvPr id="0" name=""/>
            <xdr:cNvSpPr>
              <a:spLocks noTextEdit="1"/>
            </xdr:cNvSpPr>
          </xdr:nvSpPr>
          <xdr:spPr>
            <a:xfrm>
              <a:off x="12712431" y="2597421"/>
              <a:ext cx="5429655" cy="2382869"/>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575553</xdr:colOff>
      <xdr:row>14</xdr:row>
      <xdr:rowOff>14793</xdr:rowOff>
    </xdr:from>
    <xdr:to>
      <xdr:col>20</xdr:col>
      <xdr:colOff>162128</xdr:colOff>
      <xdr:row>33</xdr:row>
      <xdr:rowOff>67688</xdr:rowOff>
    </xdr:to>
    <xdr:sp macro="" textlink="">
      <xdr:nvSpPr>
        <xdr:cNvPr id="12" name="Rounded Rectangle 11">
          <a:extLst>
            <a:ext uri="{FF2B5EF4-FFF2-40B4-BE49-F238E27FC236}">
              <a16:creationId xmlns:a16="http://schemas.microsoft.com/office/drawing/2014/main" id="{00000000-0008-0000-0300-00000C000000}"/>
            </a:ext>
          </a:extLst>
        </xdr:cNvPr>
        <xdr:cNvSpPr/>
      </xdr:nvSpPr>
      <xdr:spPr>
        <a:xfrm>
          <a:off x="6061953" y="2575113"/>
          <a:ext cx="6292175" cy="3527615"/>
        </a:xfrm>
        <a:prstGeom prst="roundRect">
          <a:avLst>
            <a:gd name="adj" fmla="val 3422"/>
          </a:avLst>
        </a:prstGeom>
        <a:solidFill>
          <a:schemeClr val="accent4">
            <a:lumMod val="20000"/>
            <a:lumOff val="80000"/>
          </a:schemeClr>
        </a:solidFill>
        <a:ln/>
      </xdr:spPr>
      <xdr:style>
        <a:lnRef idx="0">
          <a:schemeClr val="accent4"/>
        </a:lnRef>
        <a:fillRef idx="3">
          <a:schemeClr val="accent4"/>
        </a:fillRef>
        <a:effectRef idx="3">
          <a:schemeClr val="accent4"/>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10</xdr:col>
      <xdr:colOff>31777</xdr:colOff>
      <xdr:row>14</xdr:row>
      <xdr:rowOff>152318</xdr:rowOff>
    </xdr:from>
    <xdr:to>
      <xdr:col>20</xdr:col>
      <xdr:colOff>90143</xdr:colOff>
      <xdr:row>32</xdr:row>
      <xdr:rowOff>178258</xdr:rowOff>
    </xdr:to>
    <xdr:graphicFrame macro="">
      <xdr:nvGraphicFramePr>
        <xdr:cNvPr id="13" name="Chart 12">
          <a:extLst>
            <a:ext uri="{FF2B5EF4-FFF2-40B4-BE49-F238E27FC236}">
              <a16:creationId xmlns:a16="http://schemas.microsoft.com/office/drawing/2014/main" id="{00000000-0008-0000-0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19</xdr:col>
      <xdr:colOff>0</xdr:colOff>
      <xdr:row>0</xdr:row>
      <xdr:rowOff>0</xdr:rowOff>
    </xdr:from>
    <xdr:to>
      <xdr:col>19</xdr:col>
      <xdr:colOff>304800</xdr:colOff>
      <xdr:row>1</xdr:row>
      <xdr:rowOff>121920</xdr:rowOff>
    </xdr:to>
    <xdr:sp macro="" textlink="">
      <xdr:nvSpPr>
        <xdr:cNvPr id="14" name="AutoShape 2" descr="Dashboard icon">
          <a:extLst>
            <a:ext uri="{FF2B5EF4-FFF2-40B4-BE49-F238E27FC236}">
              <a16:creationId xmlns:a16="http://schemas.microsoft.com/office/drawing/2014/main" id="{00000000-0008-0000-0300-00000E000000}"/>
            </a:ext>
          </a:extLst>
        </xdr:cNvPr>
        <xdr:cNvSpPr>
          <a:spLocks noChangeAspect="1" noChangeArrowheads="1"/>
        </xdr:cNvSpPr>
      </xdr:nvSpPr>
      <xdr:spPr bwMode="auto">
        <a:xfrm>
          <a:off x="1158240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19</xdr:col>
      <xdr:colOff>0</xdr:colOff>
      <xdr:row>0</xdr:row>
      <xdr:rowOff>0</xdr:rowOff>
    </xdr:from>
    <xdr:to>
      <xdr:col>19</xdr:col>
      <xdr:colOff>304800</xdr:colOff>
      <xdr:row>1</xdr:row>
      <xdr:rowOff>121920</xdr:rowOff>
    </xdr:to>
    <xdr:sp macro="" textlink="">
      <xdr:nvSpPr>
        <xdr:cNvPr id="15" name="AutoShape 3" descr="Dashboard icon">
          <a:extLst>
            <a:ext uri="{FF2B5EF4-FFF2-40B4-BE49-F238E27FC236}">
              <a16:creationId xmlns:a16="http://schemas.microsoft.com/office/drawing/2014/main" id="{00000000-0008-0000-0300-00000F000000}"/>
            </a:ext>
          </a:extLst>
        </xdr:cNvPr>
        <xdr:cNvSpPr>
          <a:spLocks noChangeAspect="1" noChangeArrowheads="1"/>
        </xdr:cNvSpPr>
      </xdr:nvSpPr>
      <xdr:spPr bwMode="auto">
        <a:xfrm>
          <a:off x="1158240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19</xdr:col>
      <xdr:colOff>0</xdr:colOff>
      <xdr:row>0</xdr:row>
      <xdr:rowOff>0</xdr:rowOff>
    </xdr:from>
    <xdr:to>
      <xdr:col>19</xdr:col>
      <xdr:colOff>304800</xdr:colOff>
      <xdr:row>1</xdr:row>
      <xdr:rowOff>121920</xdr:rowOff>
    </xdr:to>
    <xdr:sp macro="" textlink="">
      <xdr:nvSpPr>
        <xdr:cNvPr id="16" name="AutoShape 4" descr="Dashboard icon">
          <a:extLst>
            <a:ext uri="{FF2B5EF4-FFF2-40B4-BE49-F238E27FC236}">
              <a16:creationId xmlns:a16="http://schemas.microsoft.com/office/drawing/2014/main" id="{00000000-0008-0000-0300-000010000000}"/>
            </a:ext>
          </a:extLst>
        </xdr:cNvPr>
        <xdr:cNvSpPr>
          <a:spLocks noChangeAspect="1" noChangeArrowheads="1"/>
        </xdr:cNvSpPr>
      </xdr:nvSpPr>
      <xdr:spPr bwMode="auto">
        <a:xfrm>
          <a:off x="1158240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463076</xdr:colOff>
      <xdr:row>1</xdr:row>
      <xdr:rowOff>132538</xdr:rowOff>
    </xdr:from>
    <xdr:to>
      <xdr:col>8</xdr:col>
      <xdr:colOff>502797</xdr:colOff>
      <xdr:row>5</xdr:row>
      <xdr:rowOff>34451</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4"/>
        <a:stretch>
          <a:fillRect/>
        </a:stretch>
      </xdr:blipFill>
      <xdr:spPr>
        <a:xfrm>
          <a:off x="4730276" y="315418"/>
          <a:ext cx="649321" cy="633433"/>
        </a:xfrm>
        <a:prstGeom prst="rect">
          <a:avLst/>
        </a:prstGeom>
      </xdr:spPr>
    </xdr:pic>
    <xdr:clientData/>
  </xdr:twoCellAnchor>
  <xdr:twoCellAnchor editAs="oneCell">
    <xdr:from>
      <xdr:col>20</xdr:col>
      <xdr:colOff>2228</xdr:colOff>
      <xdr:row>1</xdr:row>
      <xdr:rowOff>113286</xdr:rowOff>
    </xdr:from>
    <xdr:to>
      <xdr:col>21</xdr:col>
      <xdr:colOff>41949</xdr:colOff>
      <xdr:row>5</xdr:row>
      <xdr:rowOff>15199</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2194228" y="296166"/>
          <a:ext cx="649321" cy="633433"/>
        </a:xfrm>
        <a:prstGeom prst="rect">
          <a:avLst/>
        </a:prstGeom>
      </xdr:spPr>
    </xdr:pic>
    <xdr:clientData/>
  </xdr:twoCellAnchor>
  <xdr:twoCellAnchor>
    <xdr:from>
      <xdr:col>5</xdr:col>
      <xdr:colOff>517187</xdr:colOff>
      <xdr:row>34</xdr:row>
      <xdr:rowOff>113084</xdr:rowOff>
    </xdr:from>
    <xdr:to>
      <xdr:col>13</xdr:col>
      <xdr:colOff>0</xdr:colOff>
      <xdr:row>60</xdr:row>
      <xdr:rowOff>132521</xdr:rowOff>
    </xdr:to>
    <xdr:sp macro="" textlink="">
      <xdr:nvSpPr>
        <xdr:cNvPr id="19" name="Rounded Rectangle 18">
          <a:extLst>
            <a:ext uri="{FF2B5EF4-FFF2-40B4-BE49-F238E27FC236}">
              <a16:creationId xmlns:a16="http://schemas.microsoft.com/office/drawing/2014/main" id="{00000000-0008-0000-0300-000013000000}"/>
            </a:ext>
          </a:extLst>
        </xdr:cNvPr>
        <xdr:cNvSpPr/>
      </xdr:nvSpPr>
      <xdr:spPr>
        <a:xfrm>
          <a:off x="3554144" y="6496214"/>
          <a:ext cx="4341943" cy="4900655"/>
        </a:xfrm>
        <a:prstGeom prst="roundRect">
          <a:avLst>
            <a:gd name="adj" fmla="val 3422"/>
          </a:avLst>
        </a:prstGeom>
        <a:solidFill>
          <a:schemeClr val="accent4">
            <a:lumMod val="20000"/>
            <a:lumOff val="80000"/>
          </a:schemeClr>
        </a:solidFill>
        <a:ln/>
      </xdr:spPr>
      <xdr:style>
        <a:lnRef idx="0">
          <a:schemeClr val="accent4"/>
        </a:lnRef>
        <a:fillRef idx="3">
          <a:schemeClr val="accent4"/>
        </a:fillRef>
        <a:effectRef idx="3">
          <a:schemeClr val="accent4"/>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5</xdr:col>
      <xdr:colOff>541507</xdr:colOff>
      <xdr:row>35</xdr:row>
      <xdr:rowOff>23914</xdr:rowOff>
    </xdr:from>
    <xdr:to>
      <xdr:col>12</xdr:col>
      <xdr:colOff>520430</xdr:colOff>
      <xdr:row>60</xdr:row>
      <xdr:rowOff>33130</xdr:rowOff>
    </xdr:to>
    <xdr:graphicFrame macro="">
      <xdr:nvGraphicFramePr>
        <xdr:cNvPr id="20" name="Chart 19">
          <a:extLst>
            <a:ext uri="{FF2B5EF4-FFF2-40B4-BE49-F238E27FC236}">
              <a16:creationId xmlns:a16="http://schemas.microsoft.com/office/drawing/2014/main" id="{00000000-0008-0000-0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182733</xdr:colOff>
      <xdr:row>34</xdr:row>
      <xdr:rowOff>107824</xdr:rowOff>
    </xdr:from>
    <xdr:to>
      <xdr:col>20</xdr:col>
      <xdr:colOff>265044</xdr:colOff>
      <xdr:row>60</xdr:row>
      <xdr:rowOff>99391</xdr:rowOff>
    </xdr:to>
    <xdr:sp macro="" textlink="">
      <xdr:nvSpPr>
        <xdr:cNvPr id="21" name="Rounded Rectangle 20">
          <a:extLst>
            <a:ext uri="{FF2B5EF4-FFF2-40B4-BE49-F238E27FC236}">
              <a16:creationId xmlns:a16="http://schemas.microsoft.com/office/drawing/2014/main" id="{00000000-0008-0000-0300-000015000000}"/>
            </a:ext>
          </a:extLst>
        </xdr:cNvPr>
        <xdr:cNvSpPr/>
      </xdr:nvSpPr>
      <xdr:spPr>
        <a:xfrm>
          <a:off x="8078820" y="6490954"/>
          <a:ext cx="4334050" cy="4872785"/>
        </a:xfrm>
        <a:prstGeom prst="roundRect">
          <a:avLst>
            <a:gd name="adj" fmla="val 3422"/>
          </a:avLst>
        </a:prstGeom>
        <a:solidFill>
          <a:schemeClr val="accent4">
            <a:lumMod val="20000"/>
            <a:lumOff val="80000"/>
          </a:schemeClr>
        </a:solidFill>
        <a:ln/>
      </xdr:spPr>
      <xdr:style>
        <a:lnRef idx="0">
          <a:schemeClr val="accent4"/>
        </a:lnRef>
        <a:fillRef idx="3">
          <a:schemeClr val="accent4"/>
        </a:fillRef>
        <a:effectRef idx="3">
          <a:schemeClr val="accent4"/>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13</xdr:col>
      <xdr:colOff>229280</xdr:colOff>
      <xdr:row>35</xdr:row>
      <xdr:rowOff>42762</xdr:rowOff>
    </xdr:from>
    <xdr:to>
      <xdr:col>20</xdr:col>
      <xdr:colOff>191052</xdr:colOff>
      <xdr:row>59</xdr:row>
      <xdr:rowOff>66260</xdr:rowOff>
    </xdr:to>
    <mc:AlternateContent xmlns:mc="http://schemas.openxmlformats.org/markup-compatibility/2006" xmlns:a14="http://schemas.microsoft.com/office/drawing/2010/main">
      <mc:Choice Requires="a14">
        <xdr:graphicFrame macro="">
          <xdr:nvGraphicFramePr>
            <xdr:cNvPr id="22" name="Primary reason of disqualification 2">
              <a:extLst>
                <a:ext uri="{FF2B5EF4-FFF2-40B4-BE49-F238E27FC236}">
                  <a16:creationId xmlns:a16="http://schemas.microsoft.com/office/drawing/2014/main" id="{00000000-0008-0000-0300-000016000000}"/>
                </a:ext>
              </a:extLst>
            </xdr:cNvPr>
            <xdr:cNvGraphicFramePr/>
          </xdr:nvGraphicFramePr>
          <xdr:xfrm>
            <a:off x="0" y="0"/>
            <a:ext cx="0" cy="0"/>
          </xdr:xfrm>
          <a:graphic>
            <a:graphicData uri="http://schemas.microsoft.com/office/drawing/2010/slicer">
              <sle:slicer xmlns:sle="http://schemas.microsoft.com/office/drawing/2010/slicer" name="Primary reason of disqualification 2"/>
            </a:graphicData>
          </a:graphic>
        </xdr:graphicFrame>
      </mc:Choice>
      <mc:Fallback xmlns="">
        <xdr:sp macro="" textlink="">
          <xdr:nvSpPr>
            <xdr:cNvPr id="0" name=""/>
            <xdr:cNvSpPr>
              <a:spLocks noTextEdit="1"/>
            </xdr:cNvSpPr>
          </xdr:nvSpPr>
          <xdr:spPr>
            <a:xfrm>
              <a:off x="8125367" y="6613632"/>
              <a:ext cx="4213511" cy="4529237"/>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573507</xdr:colOff>
      <xdr:row>29</xdr:row>
      <xdr:rowOff>135404</xdr:rowOff>
    </xdr:from>
    <xdr:to>
      <xdr:col>29</xdr:col>
      <xdr:colOff>512094</xdr:colOff>
      <xdr:row>51</xdr:row>
      <xdr:rowOff>57420</xdr:rowOff>
    </xdr:to>
    <xdr:sp macro="" textlink="">
      <xdr:nvSpPr>
        <xdr:cNvPr id="23" name="Rounded Rectangle 22">
          <a:extLst>
            <a:ext uri="{FF2B5EF4-FFF2-40B4-BE49-F238E27FC236}">
              <a16:creationId xmlns:a16="http://schemas.microsoft.com/office/drawing/2014/main" id="{00000000-0008-0000-0300-000017000000}"/>
            </a:ext>
          </a:extLst>
        </xdr:cNvPr>
        <xdr:cNvSpPr/>
      </xdr:nvSpPr>
      <xdr:spPr>
        <a:xfrm>
          <a:off x="12721333" y="5579839"/>
          <a:ext cx="5405109" cy="4052277"/>
        </a:xfrm>
        <a:prstGeom prst="roundRect">
          <a:avLst>
            <a:gd name="adj" fmla="val 3422"/>
          </a:avLst>
        </a:prstGeom>
        <a:solidFill>
          <a:schemeClr val="accent4">
            <a:lumMod val="20000"/>
            <a:lumOff val="80000"/>
          </a:schemeClr>
        </a:solidFill>
        <a:ln/>
      </xdr:spPr>
      <xdr:style>
        <a:lnRef idx="0">
          <a:schemeClr val="accent4"/>
        </a:lnRef>
        <a:fillRef idx="3">
          <a:schemeClr val="accent4"/>
        </a:fillRef>
        <a:effectRef idx="3">
          <a:schemeClr val="accent4"/>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21</xdr:col>
      <xdr:colOff>58529</xdr:colOff>
      <xdr:row>30</xdr:row>
      <xdr:rowOff>11320</xdr:rowOff>
    </xdr:from>
    <xdr:to>
      <xdr:col>29</xdr:col>
      <xdr:colOff>375477</xdr:colOff>
      <xdr:row>50</xdr:row>
      <xdr:rowOff>11043</xdr:rowOff>
    </xdr:to>
    <xdr:graphicFrame macro="">
      <xdr:nvGraphicFramePr>
        <xdr:cNvPr id="24" name="Chart 23">
          <a:extLst>
            <a:ext uri="{FF2B5EF4-FFF2-40B4-BE49-F238E27FC236}">
              <a16:creationId xmlns:a16="http://schemas.microsoft.com/office/drawing/2014/main" id="{00000000-0008-0000-03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596423</xdr:colOff>
      <xdr:row>52</xdr:row>
      <xdr:rowOff>86953</xdr:rowOff>
    </xdr:from>
    <xdr:to>
      <xdr:col>29</xdr:col>
      <xdr:colOff>530086</xdr:colOff>
      <xdr:row>60</xdr:row>
      <xdr:rowOff>147016</xdr:rowOff>
    </xdr:to>
    <xdr:sp macro="" textlink="">
      <xdr:nvSpPr>
        <xdr:cNvPr id="25" name="Rounded Rectangle 24">
          <a:extLst>
            <a:ext uri="{FF2B5EF4-FFF2-40B4-BE49-F238E27FC236}">
              <a16:creationId xmlns:a16="http://schemas.microsoft.com/office/drawing/2014/main" id="{00000000-0008-0000-0300-000019000000}"/>
            </a:ext>
          </a:extLst>
        </xdr:cNvPr>
        <xdr:cNvSpPr/>
      </xdr:nvSpPr>
      <xdr:spPr>
        <a:xfrm>
          <a:off x="12744249" y="9849388"/>
          <a:ext cx="5400185" cy="1561976"/>
        </a:xfrm>
        <a:prstGeom prst="roundRect">
          <a:avLst>
            <a:gd name="adj" fmla="val 3422"/>
          </a:avLst>
        </a:prstGeom>
        <a:solidFill>
          <a:schemeClr val="accent4">
            <a:lumMod val="20000"/>
            <a:lumOff val="80000"/>
          </a:schemeClr>
        </a:solidFill>
        <a:ln/>
      </xdr:spPr>
      <xdr:style>
        <a:lnRef idx="0">
          <a:schemeClr val="accent4"/>
        </a:lnRef>
        <a:fillRef idx="3">
          <a:schemeClr val="accent4"/>
        </a:fillRef>
        <a:effectRef idx="3">
          <a:schemeClr val="accent4"/>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editAs="oneCell">
    <xdr:from>
      <xdr:col>21</xdr:col>
      <xdr:colOff>77103</xdr:colOff>
      <xdr:row>52</xdr:row>
      <xdr:rowOff>171850</xdr:rowOff>
    </xdr:from>
    <xdr:to>
      <xdr:col>29</xdr:col>
      <xdr:colOff>445955</xdr:colOff>
      <xdr:row>59</xdr:row>
      <xdr:rowOff>187049</xdr:rowOff>
    </xdr:to>
    <mc:AlternateContent xmlns:mc="http://schemas.openxmlformats.org/markup-compatibility/2006" xmlns:a14="http://schemas.microsoft.com/office/drawing/2010/main">
      <mc:Choice Requires="a14">
        <xdr:graphicFrame macro="">
          <xdr:nvGraphicFramePr>
            <xdr:cNvPr id="26" name="Date received (Month/Year) 2">
              <a:extLst>
                <a:ext uri="{FF2B5EF4-FFF2-40B4-BE49-F238E27FC236}">
                  <a16:creationId xmlns:a16="http://schemas.microsoft.com/office/drawing/2014/main" id="{00000000-0008-0000-0300-00001A000000}"/>
                </a:ext>
              </a:extLst>
            </xdr:cNvPr>
            <xdr:cNvGraphicFramePr/>
          </xdr:nvGraphicFramePr>
          <xdr:xfrm>
            <a:off x="0" y="0"/>
            <a:ext cx="0" cy="0"/>
          </xdr:xfrm>
          <a:graphic>
            <a:graphicData uri="http://schemas.microsoft.com/office/drawing/2010/slicer">
              <sle:slicer xmlns:sle="http://schemas.microsoft.com/office/drawing/2010/slicer" name="Date received (Month/Year) 2"/>
            </a:graphicData>
          </a:graphic>
        </xdr:graphicFrame>
      </mc:Choice>
      <mc:Fallback xmlns="">
        <xdr:sp macro="" textlink="">
          <xdr:nvSpPr>
            <xdr:cNvPr id="0" name=""/>
            <xdr:cNvSpPr>
              <a:spLocks noTextEdit="1"/>
            </xdr:cNvSpPr>
          </xdr:nvSpPr>
          <xdr:spPr>
            <a:xfrm>
              <a:off x="12832320" y="9934285"/>
              <a:ext cx="5227983" cy="1321753"/>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30</xdr:col>
      <xdr:colOff>199054</xdr:colOff>
      <xdr:row>0</xdr:row>
      <xdr:rowOff>167640</xdr:rowOff>
    </xdr:from>
    <xdr:to>
      <xdr:col>46</xdr:col>
      <xdr:colOff>596349</xdr:colOff>
      <xdr:row>61</xdr:row>
      <xdr:rowOff>11043</xdr:rowOff>
    </xdr:to>
    <xdr:sp macro="" textlink="">
      <xdr:nvSpPr>
        <xdr:cNvPr id="29" name="Rounded Rectangle 28">
          <a:extLst>
            <a:ext uri="{FF2B5EF4-FFF2-40B4-BE49-F238E27FC236}">
              <a16:creationId xmlns:a16="http://schemas.microsoft.com/office/drawing/2014/main" id="{00000000-0008-0000-0300-00001D000000}"/>
            </a:ext>
          </a:extLst>
        </xdr:cNvPr>
        <xdr:cNvSpPr/>
      </xdr:nvSpPr>
      <xdr:spPr>
        <a:xfrm>
          <a:off x="18420793" y="167640"/>
          <a:ext cx="10115556" cy="11295490"/>
        </a:xfrm>
        <a:prstGeom prst="roundRect">
          <a:avLst>
            <a:gd name="adj" fmla="val 3422"/>
          </a:avLst>
        </a:prstGeom>
        <a:solidFill>
          <a:schemeClr val="accent4">
            <a:lumMod val="20000"/>
            <a:lumOff val="80000"/>
          </a:schemeClr>
        </a:solidFill>
        <a:ln/>
      </xdr:spPr>
      <xdr:style>
        <a:lnRef idx="0">
          <a:schemeClr val="accent4"/>
        </a:lnRef>
        <a:fillRef idx="3">
          <a:schemeClr val="accent4"/>
        </a:fillRef>
        <a:effectRef idx="3">
          <a:schemeClr val="accent4"/>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30</xdr:col>
      <xdr:colOff>379094</xdr:colOff>
      <xdr:row>1</xdr:row>
      <xdr:rowOff>182878</xdr:rowOff>
    </xdr:from>
    <xdr:to>
      <xdr:col>46</xdr:col>
      <xdr:colOff>408609</xdr:colOff>
      <xdr:row>61</xdr:row>
      <xdr:rowOff>33130</xdr:rowOff>
    </xdr:to>
    <xdr:graphicFrame macro="">
      <xdr:nvGraphicFramePr>
        <xdr:cNvPr id="30" name="Chart 29">
          <a:extLst>
            <a:ext uri="{FF2B5EF4-FFF2-40B4-BE49-F238E27FC236}">
              <a16:creationId xmlns:a16="http://schemas.microsoft.com/office/drawing/2014/main" id="{00000000-0008-0000-03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144767</xdr:colOff>
      <xdr:row>0</xdr:row>
      <xdr:rowOff>164287</xdr:rowOff>
    </xdr:from>
    <xdr:to>
      <xdr:col>5</xdr:col>
      <xdr:colOff>215900</xdr:colOff>
      <xdr:row>61</xdr:row>
      <xdr:rowOff>0</xdr:rowOff>
    </xdr:to>
    <xdr:sp macro="" textlink="">
      <xdr:nvSpPr>
        <xdr:cNvPr id="31" name="Rounded Rectangle 30">
          <a:extLst>
            <a:ext uri="{FF2B5EF4-FFF2-40B4-BE49-F238E27FC236}">
              <a16:creationId xmlns:a16="http://schemas.microsoft.com/office/drawing/2014/main" id="{00000000-0008-0000-0300-00001F000000}"/>
            </a:ext>
          </a:extLst>
        </xdr:cNvPr>
        <xdr:cNvSpPr/>
      </xdr:nvSpPr>
      <xdr:spPr>
        <a:xfrm>
          <a:off x="144767" y="164287"/>
          <a:ext cx="3119133" cy="10991393"/>
        </a:xfrm>
        <a:prstGeom prst="roundRect">
          <a:avLst>
            <a:gd name="adj" fmla="val 7184"/>
          </a:avLst>
        </a:prstGeom>
        <a:solidFill>
          <a:schemeClr val="accent4">
            <a:lumMod val="20000"/>
            <a:lumOff val="80000"/>
          </a:schemeClr>
        </a:solidFill>
        <a:ln/>
      </xdr:spPr>
      <xdr:style>
        <a:lnRef idx="0">
          <a:schemeClr val="accent4"/>
        </a:lnRef>
        <a:fillRef idx="3">
          <a:schemeClr val="accent4"/>
        </a:fillRef>
        <a:effectRef idx="3">
          <a:schemeClr val="accent4"/>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0</xdr:col>
      <xdr:colOff>349251</xdr:colOff>
      <xdr:row>22</xdr:row>
      <xdr:rowOff>57150</xdr:rowOff>
    </xdr:from>
    <xdr:to>
      <xdr:col>4</xdr:col>
      <xdr:colOff>558801</xdr:colOff>
      <xdr:row>27</xdr:row>
      <xdr:rowOff>152400</xdr:rowOff>
    </xdr:to>
    <xdr:sp macro="" textlink="">
      <xdr:nvSpPr>
        <xdr:cNvPr id="32" name="Rounded Rectangle 31">
          <a:hlinkClick xmlns:r="http://schemas.openxmlformats.org/officeDocument/2006/relationships" r:id="rId8"/>
          <a:extLst>
            <a:ext uri="{FF2B5EF4-FFF2-40B4-BE49-F238E27FC236}">
              <a16:creationId xmlns:a16="http://schemas.microsoft.com/office/drawing/2014/main" id="{00000000-0008-0000-0300-000020000000}"/>
            </a:ext>
          </a:extLst>
        </xdr:cNvPr>
        <xdr:cNvSpPr/>
      </xdr:nvSpPr>
      <xdr:spPr>
        <a:xfrm>
          <a:off x="349251" y="4080510"/>
          <a:ext cx="2647950" cy="1009650"/>
        </a:xfrm>
        <a:prstGeom prst="roundRect">
          <a:avLst/>
        </a:prstGeom>
        <a:gradFill>
          <a:gsLst>
            <a:gs pos="0">
              <a:schemeClr val="accent4">
                <a:lumMod val="50000"/>
              </a:schemeClr>
            </a:gs>
            <a:gs pos="50000">
              <a:schemeClr val="accent4">
                <a:satMod val="110000"/>
                <a:lumMod val="100000"/>
                <a:shade val="100000"/>
              </a:schemeClr>
            </a:gs>
            <a:gs pos="100000">
              <a:schemeClr val="accent4">
                <a:lumMod val="99000"/>
                <a:satMod val="120000"/>
                <a:shade val="78000"/>
              </a:schemeClr>
            </a:gs>
          </a:gsLst>
        </a:gradFill>
      </xdr:spPr>
      <xdr:style>
        <a:lnRef idx="0">
          <a:schemeClr val="accent4"/>
        </a:lnRef>
        <a:fillRef idx="3">
          <a:schemeClr val="accent4"/>
        </a:fillRef>
        <a:effectRef idx="3">
          <a:schemeClr val="accent4"/>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2800" b="1"/>
            <a:t>DASHBOARD</a:t>
          </a:r>
          <a:r>
            <a:rPr lang="fr-FR"/>
            <a:t> </a:t>
          </a:r>
        </a:p>
      </xdr:txBody>
    </xdr:sp>
    <xdr:clientData/>
  </xdr:twoCellAnchor>
  <xdr:twoCellAnchor>
    <xdr:from>
      <xdr:col>0</xdr:col>
      <xdr:colOff>349251</xdr:colOff>
      <xdr:row>29</xdr:row>
      <xdr:rowOff>69850</xdr:rowOff>
    </xdr:from>
    <xdr:to>
      <xdr:col>4</xdr:col>
      <xdr:colOff>584201</xdr:colOff>
      <xdr:row>34</xdr:row>
      <xdr:rowOff>165100</xdr:rowOff>
    </xdr:to>
    <xdr:sp macro="" textlink="">
      <xdr:nvSpPr>
        <xdr:cNvPr id="33" name="Rounded Rectangle 32">
          <a:hlinkClick xmlns:r="http://schemas.openxmlformats.org/officeDocument/2006/relationships" r:id="rId9"/>
          <a:extLst>
            <a:ext uri="{FF2B5EF4-FFF2-40B4-BE49-F238E27FC236}">
              <a16:creationId xmlns:a16="http://schemas.microsoft.com/office/drawing/2014/main" id="{00000000-0008-0000-0300-000021000000}"/>
            </a:ext>
          </a:extLst>
        </xdr:cNvPr>
        <xdr:cNvSpPr/>
      </xdr:nvSpPr>
      <xdr:spPr>
        <a:xfrm>
          <a:off x="349251" y="5373370"/>
          <a:ext cx="2673350" cy="1009650"/>
        </a:xfrm>
        <a:prstGeom prst="roundRect">
          <a:avLst/>
        </a:prstGeom>
        <a:gradFill>
          <a:gsLst>
            <a:gs pos="0">
              <a:schemeClr val="accent4">
                <a:lumMod val="50000"/>
              </a:schemeClr>
            </a:gs>
            <a:gs pos="50000">
              <a:schemeClr val="accent4">
                <a:satMod val="110000"/>
                <a:lumMod val="100000"/>
                <a:shade val="100000"/>
              </a:schemeClr>
            </a:gs>
            <a:gs pos="100000">
              <a:schemeClr val="accent4">
                <a:lumMod val="99000"/>
                <a:satMod val="120000"/>
                <a:shade val="78000"/>
              </a:schemeClr>
            </a:gs>
          </a:gsLst>
        </a:gradFill>
      </xdr:spPr>
      <xdr:style>
        <a:lnRef idx="0">
          <a:schemeClr val="accent4"/>
        </a:lnRef>
        <a:fillRef idx="3">
          <a:schemeClr val="accent4"/>
        </a:fillRef>
        <a:effectRef idx="3">
          <a:schemeClr val="accent4"/>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2000" b="1"/>
            <a:t>PAYMENT TRACKING OF FILED</a:t>
          </a:r>
          <a:r>
            <a:rPr lang="fr-FR" sz="2000" b="1" baseline="0"/>
            <a:t> TENDER</a:t>
          </a:r>
          <a:endParaRPr lang="fr-FR" sz="2000" b="1"/>
        </a:p>
      </xdr:txBody>
    </xdr:sp>
    <xdr:clientData/>
  </xdr:twoCellAnchor>
  <xdr:twoCellAnchor editAs="oneCell">
    <xdr:from>
      <xdr:col>0</xdr:col>
      <xdr:colOff>601967</xdr:colOff>
      <xdr:row>6</xdr:row>
      <xdr:rowOff>126187</xdr:rowOff>
    </xdr:from>
    <xdr:to>
      <xdr:col>4</xdr:col>
      <xdr:colOff>306692</xdr:colOff>
      <xdr:row>18</xdr:row>
      <xdr:rowOff>135712</xdr:rowOff>
    </xdr:to>
    <xdr:pic>
      <xdr:nvPicPr>
        <xdr:cNvPr id="35" name="Picture 34">
          <a:extLst>
            <a:ext uri="{FF2B5EF4-FFF2-40B4-BE49-F238E27FC236}">
              <a16:creationId xmlns:a16="http://schemas.microsoft.com/office/drawing/2014/main" id="{00000000-0008-0000-0300-000023000000}"/>
            </a:ext>
          </a:extLst>
        </xdr:cNvPr>
        <xdr:cNvPicPr>
          <a:picLocks noChangeAspect="1"/>
        </xdr:cNvPicPr>
      </xdr:nvPicPr>
      <xdr:blipFill>
        <a:blip xmlns:r="http://schemas.openxmlformats.org/officeDocument/2006/relationships" r:embed="rId10"/>
        <a:stretch>
          <a:fillRect/>
        </a:stretch>
      </xdr:blipFill>
      <xdr:spPr>
        <a:xfrm>
          <a:off x="601967" y="1192987"/>
          <a:ext cx="2143125" cy="2143125"/>
        </a:xfrm>
        <a:prstGeom prst="rect">
          <a:avLst/>
        </a:prstGeom>
      </xdr:spPr>
    </xdr:pic>
    <xdr:clientData/>
  </xdr:twoCellAnchor>
  <xdr:twoCellAnchor editAs="oneCell">
    <xdr:from>
      <xdr:col>23</xdr:col>
      <xdr:colOff>602307</xdr:colOff>
      <xdr:row>1</xdr:row>
      <xdr:rowOff>167583</xdr:rowOff>
    </xdr:from>
    <xdr:to>
      <xdr:col>25</xdr:col>
      <xdr:colOff>331304</xdr:colOff>
      <xdr:row>5</xdr:row>
      <xdr:rowOff>26226</xdr:rowOff>
    </xdr:to>
    <xdr:pic>
      <xdr:nvPicPr>
        <xdr:cNvPr id="27" name="Picture 26">
          <a:extLst>
            <a:ext uri="{FF2B5EF4-FFF2-40B4-BE49-F238E27FC236}">
              <a16:creationId xmlns:a16="http://schemas.microsoft.com/office/drawing/2014/main" id="{00000000-0008-0000-0300-00001B000000}"/>
            </a:ext>
          </a:extLst>
        </xdr:cNvPr>
        <xdr:cNvPicPr>
          <a:picLocks noChangeAspect="1"/>
        </xdr:cNvPicPr>
      </xdr:nvPicPr>
      <xdr:blipFill>
        <a:blip xmlns:r="http://schemas.openxmlformats.org/officeDocument/2006/relationships" r:embed="rId11"/>
        <a:stretch>
          <a:fillRect/>
        </a:stretch>
      </xdr:blipFill>
      <xdr:spPr>
        <a:xfrm>
          <a:off x="14572307" y="355322"/>
          <a:ext cx="943780" cy="6096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292100</xdr:colOff>
      <xdr:row>0</xdr:row>
      <xdr:rowOff>0</xdr:rowOff>
    </xdr:from>
    <xdr:to>
      <xdr:col>30</xdr:col>
      <xdr:colOff>473074</xdr:colOff>
      <xdr:row>46</xdr:row>
      <xdr:rowOff>25400</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stretch>
          <a:fillRect/>
        </a:stretch>
      </xdr:blipFill>
      <xdr:spPr>
        <a:xfrm>
          <a:off x="292100" y="0"/>
          <a:ext cx="18468974" cy="8204200"/>
        </a:xfrm>
        <a:prstGeom prst="rect">
          <a:avLst/>
        </a:prstGeom>
        <a:solidFill>
          <a:schemeClr val="accent1"/>
        </a:solidFill>
      </xdr:spPr>
    </xdr:pic>
    <xdr:clientData/>
  </xdr:twoCellAnchor>
  <xdr:twoCellAnchor>
    <xdr:from>
      <xdr:col>5</xdr:col>
      <xdr:colOff>581343</xdr:colOff>
      <xdr:row>1</xdr:row>
      <xdr:rowOff>128959</xdr:rowOff>
    </xdr:from>
    <xdr:to>
      <xdr:col>30</xdr:col>
      <xdr:colOff>181429</xdr:colOff>
      <xdr:row>6</xdr:row>
      <xdr:rowOff>111125</xdr:rowOff>
    </xdr:to>
    <xdr:sp macro="" textlink="">
      <xdr:nvSpPr>
        <xdr:cNvPr id="6" name="Rounded Rectangle 5">
          <a:extLst>
            <a:ext uri="{FF2B5EF4-FFF2-40B4-BE49-F238E27FC236}">
              <a16:creationId xmlns:a16="http://schemas.microsoft.com/office/drawing/2014/main" id="{00000000-0008-0000-0400-000006000000}"/>
            </a:ext>
          </a:extLst>
        </xdr:cNvPr>
        <xdr:cNvSpPr/>
      </xdr:nvSpPr>
      <xdr:spPr>
        <a:xfrm>
          <a:off x="3629343" y="314016"/>
          <a:ext cx="14840086" cy="907452"/>
        </a:xfrm>
        <a:prstGeom prst="roundRect">
          <a:avLst/>
        </a:prstGeom>
        <a:solidFill>
          <a:schemeClr val="accent4">
            <a:lumMod val="20000"/>
            <a:lumOff val="80000"/>
          </a:schemeClr>
        </a:solidFill>
      </xdr:spPr>
      <xdr:style>
        <a:lnRef idx="0">
          <a:schemeClr val="accent4"/>
        </a:lnRef>
        <a:fillRef idx="3">
          <a:schemeClr val="accent4"/>
        </a:fillRef>
        <a:effectRef idx="3">
          <a:schemeClr val="accent4"/>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4400" baseline="0">
              <a:solidFill>
                <a:sysClr val="windowText" lastClr="000000"/>
              </a:solidFill>
              <a:latin typeface="Arial Black" panose="020B0A04020102020204" pitchFamily="34" charset="0"/>
            </a:rPr>
            <a:t>PAYMENT TRACKING OF FILED TENDERS </a:t>
          </a:r>
          <a:endParaRPr lang="fr-FR" sz="4400">
            <a:solidFill>
              <a:sysClr val="windowText" lastClr="000000"/>
            </a:solidFill>
            <a:latin typeface="Arial Black" panose="020B0A04020102020204" pitchFamily="34" charset="0"/>
          </a:endParaRPr>
        </a:p>
      </xdr:txBody>
    </xdr:sp>
    <xdr:clientData/>
  </xdr:twoCellAnchor>
  <xdr:twoCellAnchor>
    <xdr:from>
      <xdr:col>5</xdr:col>
      <xdr:colOff>583996</xdr:colOff>
      <xdr:row>7</xdr:row>
      <xdr:rowOff>149833</xdr:rowOff>
    </xdr:from>
    <xdr:to>
      <xdr:col>30</xdr:col>
      <xdr:colOff>160844</xdr:colOff>
      <xdr:row>12</xdr:row>
      <xdr:rowOff>141726</xdr:rowOff>
    </xdr:to>
    <xdr:sp macro="" textlink="">
      <xdr:nvSpPr>
        <xdr:cNvPr id="7" name="Rounded Rectangle 6">
          <a:extLst>
            <a:ext uri="{FF2B5EF4-FFF2-40B4-BE49-F238E27FC236}">
              <a16:creationId xmlns:a16="http://schemas.microsoft.com/office/drawing/2014/main" id="{00000000-0008-0000-0400-000007000000}"/>
            </a:ext>
          </a:extLst>
        </xdr:cNvPr>
        <xdr:cNvSpPr/>
      </xdr:nvSpPr>
      <xdr:spPr>
        <a:xfrm>
          <a:off x="3631996" y="1394433"/>
          <a:ext cx="14816848" cy="880893"/>
        </a:xfrm>
        <a:prstGeom prst="roundRect">
          <a:avLst/>
        </a:prstGeom>
        <a:solidFill>
          <a:schemeClr val="accent4">
            <a:lumMod val="20000"/>
            <a:lumOff val="80000"/>
          </a:schemeClr>
        </a:solidFill>
      </xdr:spPr>
      <xdr:style>
        <a:lnRef idx="0">
          <a:schemeClr val="accent4"/>
        </a:lnRef>
        <a:fillRef idx="3">
          <a:schemeClr val="accent4"/>
        </a:fillRef>
        <a:effectRef idx="3">
          <a:schemeClr val="accent4"/>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6</xdr:col>
      <xdr:colOff>47249</xdr:colOff>
      <xdr:row>14</xdr:row>
      <xdr:rowOff>20051</xdr:rowOff>
    </xdr:from>
    <xdr:to>
      <xdr:col>9</xdr:col>
      <xdr:colOff>527146</xdr:colOff>
      <xdr:row>28</xdr:row>
      <xdr:rowOff>39914</xdr:rowOff>
    </xdr:to>
    <xdr:sp macro="" textlink="">
      <xdr:nvSpPr>
        <xdr:cNvPr id="9" name="Rounded Rectangle 8">
          <a:extLst>
            <a:ext uri="{FF2B5EF4-FFF2-40B4-BE49-F238E27FC236}">
              <a16:creationId xmlns:a16="http://schemas.microsoft.com/office/drawing/2014/main" id="{00000000-0008-0000-0400-000009000000}"/>
            </a:ext>
          </a:extLst>
        </xdr:cNvPr>
        <xdr:cNvSpPr/>
      </xdr:nvSpPr>
      <xdr:spPr>
        <a:xfrm>
          <a:off x="3704849" y="2610851"/>
          <a:ext cx="2308697" cy="2610663"/>
        </a:xfrm>
        <a:prstGeom prst="roundRect">
          <a:avLst>
            <a:gd name="adj" fmla="val 7184"/>
          </a:avLst>
        </a:prstGeom>
        <a:solidFill>
          <a:schemeClr val="accent4">
            <a:lumMod val="20000"/>
            <a:lumOff val="80000"/>
          </a:schemeClr>
        </a:solidFill>
      </xdr:spPr>
      <xdr:style>
        <a:lnRef idx="0">
          <a:schemeClr val="accent4"/>
        </a:lnRef>
        <a:fillRef idx="3">
          <a:schemeClr val="accent4"/>
        </a:fillRef>
        <a:effectRef idx="3">
          <a:schemeClr val="accent4"/>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10</xdr:col>
      <xdr:colOff>164559</xdr:colOff>
      <xdr:row>13</xdr:row>
      <xdr:rowOff>160371</xdr:rowOff>
    </xdr:from>
    <xdr:to>
      <xdr:col>15</xdr:col>
      <xdr:colOff>317501</xdr:colOff>
      <xdr:row>28</xdr:row>
      <xdr:rowOff>25401</xdr:rowOff>
    </xdr:to>
    <xdr:sp macro="" textlink="">
      <xdr:nvSpPr>
        <xdr:cNvPr id="13" name="Rounded Rectangle 12">
          <a:extLst>
            <a:ext uri="{FF2B5EF4-FFF2-40B4-BE49-F238E27FC236}">
              <a16:creationId xmlns:a16="http://schemas.microsoft.com/office/drawing/2014/main" id="{00000000-0008-0000-0400-00000D000000}"/>
            </a:ext>
          </a:extLst>
        </xdr:cNvPr>
        <xdr:cNvSpPr/>
      </xdr:nvSpPr>
      <xdr:spPr>
        <a:xfrm>
          <a:off x="6260559" y="2471771"/>
          <a:ext cx="3200942" cy="2532030"/>
        </a:xfrm>
        <a:prstGeom prst="roundRect">
          <a:avLst>
            <a:gd name="adj" fmla="val 3422"/>
          </a:avLst>
        </a:prstGeom>
        <a:solidFill>
          <a:schemeClr val="accent4">
            <a:lumMod val="20000"/>
            <a:lumOff val="80000"/>
          </a:schemeClr>
        </a:solidFill>
      </xdr:spPr>
      <xdr:style>
        <a:lnRef idx="0">
          <a:schemeClr val="accent4"/>
        </a:lnRef>
        <a:fillRef idx="3">
          <a:schemeClr val="accent4"/>
        </a:fillRef>
        <a:effectRef idx="3">
          <a:schemeClr val="accent4"/>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editAs="oneCell">
    <xdr:from>
      <xdr:col>19</xdr:col>
      <xdr:colOff>0</xdr:colOff>
      <xdr:row>0</xdr:row>
      <xdr:rowOff>0</xdr:rowOff>
    </xdr:from>
    <xdr:to>
      <xdr:col>19</xdr:col>
      <xdr:colOff>304800</xdr:colOff>
      <xdr:row>1</xdr:row>
      <xdr:rowOff>121920</xdr:rowOff>
    </xdr:to>
    <xdr:sp macro="" textlink="">
      <xdr:nvSpPr>
        <xdr:cNvPr id="26626" name="AutoShape 2" descr="Dashboard icon">
          <a:extLst>
            <a:ext uri="{FF2B5EF4-FFF2-40B4-BE49-F238E27FC236}">
              <a16:creationId xmlns:a16="http://schemas.microsoft.com/office/drawing/2014/main" id="{00000000-0008-0000-0400-000002680000}"/>
            </a:ext>
          </a:extLst>
        </xdr:cNvPr>
        <xdr:cNvSpPr>
          <a:spLocks noChangeAspect="1" noChangeArrowheads="1"/>
        </xdr:cNvSpPr>
      </xdr:nvSpPr>
      <xdr:spPr bwMode="auto">
        <a:xfrm>
          <a:off x="1158240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19</xdr:col>
      <xdr:colOff>0</xdr:colOff>
      <xdr:row>0</xdr:row>
      <xdr:rowOff>0</xdr:rowOff>
    </xdr:from>
    <xdr:to>
      <xdr:col>19</xdr:col>
      <xdr:colOff>304800</xdr:colOff>
      <xdr:row>1</xdr:row>
      <xdr:rowOff>121920</xdr:rowOff>
    </xdr:to>
    <xdr:sp macro="" textlink="">
      <xdr:nvSpPr>
        <xdr:cNvPr id="26627" name="AutoShape 3" descr="Dashboard icon">
          <a:extLst>
            <a:ext uri="{FF2B5EF4-FFF2-40B4-BE49-F238E27FC236}">
              <a16:creationId xmlns:a16="http://schemas.microsoft.com/office/drawing/2014/main" id="{00000000-0008-0000-0400-000003680000}"/>
            </a:ext>
          </a:extLst>
        </xdr:cNvPr>
        <xdr:cNvSpPr>
          <a:spLocks noChangeAspect="1" noChangeArrowheads="1"/>
        </xdr:cNvSpPr>
      </xdr:nvSpPr>
      <xdr:spPr bwMode="auto">
        <a:xfrm>
          <a:off x="1158240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19</xdr:col>
      <xdr:colOff>0</xdr:colOff>
      <xdr:row>0</xdr:row>
      <xdr:rowOff>0</xdr:rowOff>
    </xdr:from>
    <xdr:to>
      <xdr:col>19</xdr:col>
      <xdr:colOff>304800</xdr:colOff>
      <xdr:row>1</xdr:row>
      <xdr:rowOff>121920</xdr:rowOff>
    </xdr:to>
    <xdr:sp macro="" textlink="">
      <xdr:nvSpPr>
        <xdr:cNvPr id="26628" name="AutoShape 4" descr="Dashboard icon">
          <a:extLst>
            <a:ext uri="{FF2B5EF4-FFF2-40B4-BE49-F238E27FC236}">
              <a16:creationId xmlns:a16="http://schemas.microsoft.com/office/drawing/2014/main" id="{00000000-0008-0000-0400-000004680000}"/>
            </a:ext>
          </a:extLst>
        </xdr:cNvPr>
        <xdr:cNvSpPr>
          <a:spLocks noChangeAspect="1" noChangeArrowheads="1"/>
        </xdr:cNvSpPr>
      </xdr:nvSpPr>
      <xdr:spPr bwMode="auto">
        <a:xfrm>
          <a:off x="1158240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5</xdr:col>
      <xdr:colOff>573120</xdr:colOff>
      <xdr:row>30</xdr:row>
      <xdr:rowOff>63097</xdr:rowOff>
    </xdr:from>
    <xdr:to>
      <xdr:col>30</xdr:col>
      <xdr:colOff>165100</xdr:colOff>
      <xdr:row>43</xdr:row>
      <xdr:rowOff>139700</xdr:rowOff>
    </xdr:to>
    <xdr:sp macro="" textlink="">
      <xdr:nvSpPr>
        <xdr:cNvPr id="27" name="Rounded Rectangle 26">
          <a:extLst>
            <a:ext uri="{FF2B5EF4-FFF2-40B4-BE49-F238E27FC236}">
              <a16:creationId xmlns:a16="http://schemas.microsoft.com/office/drawing/2014/main" id="{00000000-0008-0000-0400-00001B000000}"/>
            </a:ext>
          </a:extLst>
        </xdr:cNvPr>
        <xdr:cNvSpPr/>
      </xdr:nvSpPr>
      <xdr:spPr>
        <a:xfrm>
          <a:off x="3621120" y="5397097"/>
          <a:ext cx="14831980" cy="2388003"/>
        </a:xfrm>
        <a:prstGeom prst="roundRect">
          <a:avLst>
            <a:gd name="adj" fmla="val 3422"/>
          </a:avLst>
        </a:prstGeom>
        <a:solidFill>
          <a:schemeClr val="accent4">
            <a:lumMod val="20000"/>
            <a:lumOff val="80000"/>
          </a:schemeClr>
        </a:solidFill>
      </xdr:spPr>
      <xdr:style>
        <a:lnRef idx="0">
          <a:schemeClr val="accent4"/>
        </a:lnRef>
        <a:fillRef idx="3">
          <a:schemeClr val="accent4"/>
        </a:fillRef>
        <a:effectRef idx="3">
          <a:schemeClr val="accent4"/>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15</xdr:col>
      <xdr:colOff>602913</xdr:colOff>
      <xdr:row>13</xdr:row>
      <xdr:rowOff>137201</xdr:rowOff>
    </xdr:from>
    <xdr:to>
      <xdr:col>30</xdr:col>
      <xdr:colOff>12700</xdr:colOff>
      <xdr:row>28</xdr:row>
      <xdr:rowOff>12700</xdr:rowOff>
    </xdr:to>
    <xdr:sp macro="" textlink="">
      <xdr:nvSpPr>
        <xdr:cNvPr id="41" name="Rounded Rectangle 40">
          <a:extLst>
            <a:ext uri="{FF2B5EF4-FFF2-40B4-BE49-F238E27FC236}">
              <a16:creationId xmlns:a16="http://schemas.microsoft.com/office/drawing/2014/main" id="{00000000-0008-0000-0400-000029000000}"/>
            </a:ext>
          </a:extLst>
        </xdr:cNvPr>
        <xdr:cNvSpPr/>
      </xdr:nvSpPr>
      <xdr:spPr>
        <a:xfrm>
          <a:off x="9746913" y="2448601"/>
          <a:ext cx="8553787" cy="2542499"/>
        </a:xfrm>
        <a:prstGeom prst="roundRect">
          <a:avLst>
            <a:gd name="adj" fmla="val 3422"/>
          </a:avLst>
        </a:prstGeom>
        <a:solidFill>
          <a:schemeClr val="accent4">
            <a:lumMod val="20000"/>
            <a:lumOff val="80000"/>
          </a:schemeClr>
        </a:solidFill>
      </xdr:spPr>
      <xdr:style>
        <a:lnRef idx="0">
          <a:schemeClr val="accent4"/>
        </a:lnRef>
        <a:fillRef idx="3">
          <a:schemeClr val="accent4"/>
        </a:fillRef>
        <a:effectRef idx="3">
          <a:schemeClr val="accent4"/>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0</xdr:col>
      <xdr:colOff>444500</xdr:colOff>
      <xdr:row>1</xdr:row>
      <xdr:rowOff>113487</xdr:rowOff>
    </xdr:from>
    <xdr:to>
      <xdr:col>5</xdr:col>
      <xdr:colOff>292100</xdr:colOff>
      <xdr:row>44</xdr:row>
      <xdr:rowOff>12700</xdr:rowOff>
    </xdr:to>
    <xdr:sp macro="" textlink="">
      <xdr:nvSpPr>
        <xdr:cNvPr id="45" name="Rounded Rectangle 44">
          <a:extLst>
            <a:ext uri="{FF2B5EF4-FFF2-40B4-BE49-F238E27FC236}">
              <a16:creationId xmlns:a16="http://schemas.microsoft.com/office/drawing/2014/main" id="{00000000-0008-0000-0400-00002D000000}"/>
            </a:ext>
          </a:extLst>
        </xdr:cNvPr>
        <xdr:cNvSpPr/>
      </xdr:nvSpPr>
      <xdr:spPr>
        <a:xfrm>
          <a:off x="444500" y="291287"/>
          <a:ext cx="2895600" cy="7544613"/>
        </a:xfrm>
        <a:prstGeom prst="roundRect">
          <a:avLst>
            <a:gd name="adj" fmla="val 7184"/>
          </a:avLst>
        </a:prstGeom>
        <a:solidFill>
          <a:schemeClr val="accent4">
            <a:lumMod val="20000"/>
            <a:lumOff val="80000"/>
          </a:schemeClr>
        </a:solidFill>
      </xdr:spPr>
      <xdr:style>
        <a:lnRef idx="0">
          <a:schemeClr val="accent4"/>
        </a:lnRef>
        <a:fillRef idx="3">
          <a:schemeClr val="accent4"/>
        </a:fillRef>
        <a:effectRef idx="3">
          <a:schemeClr val="accent4"/>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0</xdr:col>
      <xdr:colOff>556079</xdr:colOff>
      <xdr:row>18</xdr:row>
      <xdr:rowOff>80735</xdr:rowOff>
    </xdr:from>
    <xdr:to>
      <xdr:col>5</xdr:col>
      <xdr:colOff>156029</xdr:colOff>
      <xdr:row>23</xdr:row>
      <xdr:rowOff>175986</xdr:rowOff>
    </xdr:to>
    <xdr:sp macro="" textlink="">
      <xdr:nvSpPr>
        <xdr:cNvPr id="46" name="Rounded Rectangle 45">
          <a:hlinkClick xmlns:r="http://schemas.openxmlformats.org/officeDocument/2006/relationships" r:id="rId2"/>
          <a:extLst>
            <a:ext uri="{FF2B5EF4-FFF2-40B4-BE49-F238E27FC236}">
              <a16:creationId xmlns:a16="http://schemas.microsoft.com/office/drawing/2014/main" id="{00000000-0008-0000-0400-00002E000000}"/>
            </a:ext>
          </a:extLst>
        </xdr:cNvPr>
        <xdr:cNvSpPr/>
      </xdr:nvSpPr>
      <xdr:spPr>
        <a:xfrm>
          <a:off x="556079" y="3411764"/>
          <a:ext cx="2647950" cy="1020536"/>
        </a:xfrm>
        <a:prstGeom prst="roundRect">
          <a:avLst/>
        </a:prstGeom>
        <a:gradFill>
          <a:gsLst>
            <a:gs pos="0">
              <a:srgbClr val="008080"/>
            </a:gs>
            <a:gs pos="50000">
              <a:schemeClr val="accent4">
                <a:satMod val="110000"/>
                <a:lumMod val="100000"/>
                <a:shade val="100000"/>
              </a:schemeClr>
            </a:gs>
            <a:gs pos="100000">
              <a:schemeClr val="accent4">
                <a:lumMod val="99000"/>
                <a:satMod val="120000"/>
                <a:shade val="78000"/>
              </a:schemeClr>
            </a:gs>
          </a:gsLst>
        </a:gradFill>
      </xdr:spPr>
      <xdr:style>
        <a:lnRef idx="0">
          <a:schemeClr val="accent4"/>
        </a:lnRef>
        <a:fillRef idx="3">
          <a:schemeClr val="accent4"/>
        </a:fillRef>
        <a:effectRef idx="3">
          <a:schemeClr val="accent4"/>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2800" b="1"/>
            <a:t>DASHBOARD</a:t>
          </a:r>
          <a:r>
            <a:rPr lang="fr-FR"/>
            <a:t> </a:t>
          </a:r>
        </a:p>
      </xdr:txBody>
    </xdr:sp>
    <xdr:clientData/>
  </xdr:twoCellAnchor>
  <xdr:twoCellAnchor>
    <xdr:from>
      <xdr:col>0</xdr:col>
      <xdr:colOff>566965</xdr:colOff>
      <xdr:row>26</xdr:row>
      <xdr:rowOff>53522</xdr:rowOff>
    </xdr:from>
    <xdr:to>
      <xdr:col>5</xdr:col>
      <xdr:colOff>192315</xdr:colOff>
      <xdr:row>31</xdr:row>
      <xdr:rowOff>148772</xdr:rowOff>
    </xdr:to>
    <xdr:sp macro="" textlink="">
      <xdr:nvSpPr>
        <xdr:cNvPr id="47" name="Rounded Rectangle 46">
          <a:hlinkClick xmlns:r="http://schemas.openxmlformats.org/officeDocument/2006/relationships" r:id="rId3"/>
          <a:extLst>
            <a:ext uri="{FF2B5EF4-FFF2-40B4-BE49-F238E27FC236}">
              <a16:creationId xmlns:a16="http://schemas.microsoft.com/office/drawing/2014/main" id="{00000000-0008-0000-0400-00002F000000}"/>
            </a:ext>
          </a:extLst>
        </xdr:cNvPr>
        <xdr:cNvSpPr/>
      </xdr:nvSpPr>
      <xdr:spPr>
        <a:xfrm>
          <a:off x="566965" y="4865008"/>
          <a:ext cx="2673350" cy="1020535"/>
        </a:xfrm>
        <a:prstGeom prst="roundRect">
          <a:avLst/>
        </a:prstGeom>
        <a:gradFill>
          <a:gsLst>
            <a:gs pos="0">
              <a:srgbClr val="008080"/>
            </a:gs>
            <a:gs pos="50000">
              <a:schemeClr val="accent4">
                <a:satMod val="110000"/>
                <a:lumMod val="100000"/>
                <a:shade val="100000"/>
              </a:schemeClr>
            </a:gs>
            <a:gs pos="100000">
              <a:schemeClr val="accent4">
                <a:lumMod val="99000"/>
                <a:satMod val="120000"/>
                <a:shade val="78000"/>
              </a:schemeClr>
            </a:gs>
          </a:gsLst>
        </a:gradFill>
      </xdr:spPr>
      <xdr:style>
        <a:lnRef idx="0">
          <a:schemeClr val="accent4"/>
        </a:lnRef>
        <a:fillRef idx="3">
          <a:schemeClr val="accent4"/>
        </a:fillRef>
        <a:effectRef idx="3">
          <a:schemeClr val="accent4"/>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2000" b="1"/>
            <a:t>PAYMENT TRACKING OF FILED</a:t>
          </a:r>
          <a:r>
            <a:rPr lang="fr-FR" sz="2000" b="1" baseline="0"/>
            <a:t> TENDER</a:t>
          </a:r>
          <a:endParaRPr lang="fr-FR" sz="2000" b="1"/>
        </a:p>
      </xdr:txBody>
    </xdr:sp>
    <xdr:clientData/>
  </xdr:twoCellAnchor>
  <xdr:twoCellAnchor>
    <xdr:from>
      <xdr:col>0</xdr:col>
      <xdr:colOff>549353</xdr:colOff>
      <xdr:row>11</xdr:row>
      <xdr:rowOff>137072</xdr:rowOff>
    </xdr:from>
    <xdr:to>
      <xdr:col>5</xdr:col>
      <xdr:colOff>186125</xdr:colOff>
      <xdr:row>16</xdr:row>
      <xdr:rowOff>122414</xdr:rowOff>
    </xdr:to>
    <xdr:sp macro="" textlink="">
      <xdr:nvSpPr>
        <xdr:cNvPr id="48" name="Rounded Rectangle 47">
          <a:extLst>
            <a:ext uri="{FF2B5EF4-FFF2-40B4-BE49-F238E27FC236}">
              <a16:creationId xmlns:a16="http://schemas.microsoft.com/office/drawing/2014/main" id="{00000000-0008-0000-0400-000030000000}"/>
            </a:ext>
          </a:extLst>
        </xdr:cNvPr>
        <xdr:cNvSpPr/>
      </xdr:nvSpPr>
      <xdr:spPr>
        <a:xfrm>
          <a:off x="549353" y="2172701"/>
          <a:ext cx="2684772" cy="910627"/>
        </a:xfrm>
        <a:prstGeom prst="roundRect">
          <a:avLst/>
        </a:prstGeom>
        <a:solidFill>
          <a:schemeClr val="accent4">
            <a:lumMod val="20000"/>
            <a:lumOff val="80000"/>
          </a:schemeClr>
        </a:solidFill>
      </xdr:spPr>
      <xdr:style>
        <a:lnRef idx="0">
          <a:schemeClr val="accent4"/>
        </a:lnRef>
        <a:fillRef idx="3">
          <a:schemeClr val="accent4"/>
        </a:fillRef>
        <a:effectRef idx="3">
          <a:schemeClr val="accent4"/>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editAs="oneCell">
    <xdr:from>
      <xdr:col>1</xdr:col>
      <xdr:colOff>54151</xdr:colOff>
      <xdr:row>12</xdr:row>
      <xdr:rowOff>82712</xdr:rowOff>
    </xdr:from>
    <xdr:to>
      <xdr:col>5</xdr:col>
      <xdr:colOff>132443</xdr:colOff>
      <xdr:row>16</xdr:row>
      <xdr:rowOff>24907</xdr:rowOff>
    </xdr:to>
    <xdr:pic>
      <xdr:nvPicPr>
        <xdr:cNvPr id="49" name="Picture 48">
          <a:extLst>
            <a:ext uri="{FF2B5EF4-FFF2-40B4-BE49-F238E27FC236}">
              <a16:creationId xmlns:a16="http://schemas.microsoft.com/office/drawing/2014/main" id="{00000000-0008-0000-0400-000031000000}"/>
            </a:ext>
          </a:extLst>
        </xdr:cNvPr>
        <xdr:cNvPicPr>
          <a:picLocks noChangeAspect="1"/>
        </xdr:cNvPicPr>
      </xdr:nvPicPr>
      <xdr:blipFill>
        <a:blip xmlns:r="http://schemas.openxmlformats.org/officeDocument/2006/relationships" r:embed="rId4"/>
        <a:stretch>
          <a:fillRect/>
        </a:stretch>
      </xdr:blipFill>
      <xdr:spPr>
        <a:xfrm>
          <a:off x="663751" y="2303398"/>
          <a:ext cx="2516692" cy="682423"/>
        </a:xfrm>
        <a:prstGeom prst="rect">
          <a:avLst/>
        </a:prstGeom>
      </xdr:spPr>
    </xdr:pic>
    <xdr:clientData/>
  </xdr:twoCellAnchor>
  <xdr:twoCellAnchor>
    <xdr:from>
      <xdr:col>16</xdr:col>
      <xdr:colOff>133012</xdr:colOff>
      <xdr:row>14</xdr:row>
      <xdr:rowOff>102276</xdr:rowOff>
    </xdr:from>
    <xdr:to>
      <xdr:col>29</xdr:col>
      <xdr:colOff>457200</xdr:colOff>
      <xdr:row>27</xdr:row>
      <xdr:rowOff>38100</xdr:rowOff>
    </xdr:to>
    <xdr:graphicFrame macro="">
      <xdr:nvGraphicFramePr>
        <xdr:cNvPr id="37" name="Chart 36">
          <a:extLst>
            <a:ext uri="{FF2B5EF4-FFF2-40B4-BE49-F238E27FC236}">
              <a16:creationId xmlns:a16="http://schemas.microsoft.com/office/drawing/2014/main" id="{00000000-0008-0000-04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6</xdr:col>
      <xdr:colOff>166992</xdr:colOff>
      <xdr:row>15</xdr:row>
      <xdr:rowOff>49080</xdr:rowOff>
    </xdr:from>
    <xdr:to>
      <xdr:col>9</xdr:col>
      <xdr:colOff>368300</xdr:colOff>
      <xdr:row>26</xdr:row>
      <xdr:rowOff>107043</xdr:rowOff>
    </xdr:to>
    <mc:AlternateContent xmlns:mc="http://schemas.openxmlformats.org/markup-compatibility/2006">
      <mc:Choice xmlns:a14="http://schemas.microsoft.com/office/drawing/2010/main" Requires="a14">
        <xdr:graphicFrame macro="">
          <xdr:nvGraphicFramePr>
            <xdr:cNvPr id="38" name="Tenderer 1">
              <a:extLst>
                <a:ext uri="{FF2B5EF4-FFF2-40B4-BE49-F238E27FC236}">
                  <a16:creationId xmlns:a16="http://schemas.microsoft.com/office/drawing/2014/main" id="{00000000-0008-0000-0400-000026000000}"/>
                </a:ext>
              </a:extLst>
            </xdr:cNvPr>
            <xdr:cNvGraphicFramePr/>
          </xdr:nvGraphicFramePr>
          <xdr:xfrm>
            <a:off x="0" y="0"/>
            <a:ext cx="0" cy="0"/>
          </xdr:xfrm>
          <a:graphic>
            <a:graphicData uri="http://schemas.microsoft.com/office/drawing/2010/slicer">
              <sle:slicer xmlns:sle="http://schemas.microsoft.com/office/drawing/2010/slicer" name="Tenderer 1"/>
            </a:graphicData>
          </a:graphic>
        </xdr:graphicFrame>
      </mc:Choice>
      <mc:Fallback>
        <xdr:sp macro="" textlink="">
          <xdr:nvSpPr>
            <xdr:cNvPr id="0" name=""/>
            <xdr:cNvSpPr>
              <a:spLocks noTextEdit="1"/>
            </xdr:cNvSpPr>
          </xdr:nvSpPr>
          <xdr:spPr>
            <a:xfrm>
              <a:off x="3824592" y="2824937"/>
              <a:ext cx="2030108" cy="209359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202658</xdr:colOff>
      <xdr:row>8</xdr:row>
      <xdr:rowOff>122271</xdr:rowOff>
    </xdr:from>
    <xdr:to>
      <xdr:col>30</xdr:col>
      <xdr:colOff>25400</xdr:colOff>
      <xdr:row>12</xdr:row>
      <xdr:rowOff>63500</xdr:rowOff>
    </xdr:to>
    <mc:AlternateContent xmlns:mc="http://schemas.openxmlformats.org/markup-compatibility/2006" xmlns:a14="http://schemas.microsoft.com/office/drawing/2010/main">
      <mc:Choice Requires="a14">
        <xdr:graphicFrame macro="">
          <xdr:nvGraphicFramePr>
            <xdr:cNvPr id="39" name="Status 1">
              <a:extLst>
                <a:ext uri="{FF2B5EF4-FFF2-40B4-BE49-F238E27FC236}">
                  <a16:creationId xmlns:a16="http://schemas.microsoft.com/office/drawing/2014/main" id="{00000000-0008-0000-0400-000027000000}"/>
                </a:ext>
              </a:extLst>
            </xdr:cNvPr>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3860258" y="1602728"/>
              <a:ext cx="14453142" cy="681458"/>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103220</xdr:colOff>
      <xdr:row>31</xdr:row>
      <xdr:rowOff>50397</xdr:rowOff>
    </xdr:from>
    <xdr:to>
      <xdr:col>30</xdr:col>
      <xdr:colOff>50800</xdr:colOff>
      <xdr:row>42</xdr:row>
      <xdr:rowOff>114300</xdr:rowOff>
    </xdr:to>
    <mc:AlternateContent xmlns:mc="http://schemas.openxmlformats.org/markup-compatibility/2006" xmlns:a14="http://schemas.microsoft.com/office/drawing/2010/main">
      <mc:Choice Requires="a14">
        <xdr:graphicFrame macro="">
          <xdr:nvGraphicFramePr>
            <xdr:cNvPr id="40" name="Comments 1">
              <a:extLst>
                <a:ext uri="{FF2B5EF4-FFF2-40B4-BE49-F238E27FC236}">
                  <a16:creationId xmlns:a16="http://schemas.microsoft.com/office/drawing/2014/main" id="{00000000-0008-0000-0400-000028000000}"/>
                </a:ext>
              </a:extLst>
            </xdr:cNvPr>
            <xdr:cNvGraphicFramePr/>
          </xdr:nvGraphicFramePr>
          <xdr:xfrm>
            <a:off x="0" y="0"/>
            <a:ext cx="0" cy="0"/>
          </xdr:xfrm>
          <a:graphic>
            <a:graphicData uri="http://schemas.microsoft.com/office/drawing/2010/slicer">
              <sle:slicer xmlns:sle="http://schemas.microsoft.com/office/drawing/2010/slicer" name="Comments 1"/>
            </a:graphicData>
          </a:graphic>
        </xdr:graphicFrame>
      </mc:Choice>
      <mc:Fallback xmlns="">
        <xdr:sp macro="" textlink="">
          <xdr:nvSpPr>
            <xdr:cNvPr id="0" name=""/>
            <xdr:cNvSpPr>
              <a:spLocks noTextEdit="1"/>
            </xdr:cNvSpPr>
          </xdr:nvSpPr>
          <xdr:spPr>
            <a:xfrm>
              <a:off x="3760820" y="5787168"/>
              <a:ext cx="14577980" cy="2099532"/>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355600</xdr:colOff>
      <xdr:row>15</xdr:row>
      <xdr:rowOff>61685</xdr:rowOff>
    </xdr:from>
    <xdr:to>
      <xdr:col>15</xdr:col>
      <xdr:colOff>177800</xdr:colOff>
      <xdr:row>26</xdr:row>
      <xdr:rowOff>76199</xdr:rowOff>
    </xdr:to>
    <mc:AlternateContent xmlns:mc="http://schemas.openxmlformats.org/markup-compatibility/2006" xmlns:a14="http://schemas.microsoft.com/office/drawing/2010/main">
      <mc:Choice Requires="a14">
        <xdr:graphicFrame macro="">
          <xdr:nvGraphicFramePr>
            <xdr:cNvPr id="43" name="Refund status 1">
              <a:extLst>
                <a:ext uri="{FF2B5EF4-FFF2-40B4-BE49-F238E27FC236}">
                  <a16:creationId xmlns:a16="http://schemas.microsoft.com/office/drawing/2014/main" id="{00000000-0008-0000-0400-00002B000000}"/>
                </a:ext>
              </a:extLst>
            </xdr:cNvPr>
            <xdr:cNvGraphicFramePr/>
          </xdr:nvGraphicFramePr>
          <xdr:xfrm>
            <a:off x="0" y="0"/>
            <a:ext cx="0" cy="0"/>
          </xdr:xfrm>
          <a:graphic>
            <a:graphicData uri="http://schemas.microsoft.com/office/drawing/2010/slicer">
              <sle:slicer xmlns:sle="http://schemas.microsoft.com/office/drawing/2010/slicer" name="Refund status 1"/>
            </a:graphicData>
          </a:graphic>
        </xdr:graphicFrame>
      </mc:Choice>
      <mc:Fallback xmlns="">
        <xdr:sp macro="" textlink="">
          <xdr:nvSpPr>
            <xdr:cNvPr id="0" name=""/>
            <xdr:cNvSpPr>
              <a:spLocks noTextEdit="1"/>
            </xdr:cNvSpPr>
          </xdr:nvSpPr>
          <xdr:spPr>
            <a:xfrm>
              <a:off x="6451600" y="2837542"/>
              <a:ext cx="2870200" cy="205014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0</xdr:rowOff>
    </xdr:from>
    <xdr:to>
      <xdr:col>0</xdr:col>
      <xdr:colOff>304800</xdr:colOff>
      <xdr:row>1</xdr:row>
      <xdr:rowOff>121920</xdr:rowOff>
    </xdr:to>
    <xdr:sp macro="" textlink="">
      <xdr:nvSpPr>
        <xdr:cNvPr id="5121" name="AutoShape 1" descr="Invoice icon">
          <a:extLst>
            <a:ext uri="{FF2B5EF4-FFF2-40B4-BE49-F238E27FC236}">
              <a16:creationId xmlns:a16="http://schemas.microsoft.com/office/drawing/2014/main" id="{00000000-0008-0000-0400-00000114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225743</xdr:colOff>
      <xdr:row>2</xdr:row>
      <xdr:rowOff>60016</xdr:rowOff>
    </xdr:from>
    <xdr:to>
      <xdr:col>7</xdr:col>
      <xdr:colOff>321129</xdr:colOff>
      <xdr:row>6</xdr:row>
      <xdr:rowOff>53802</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6"/>
        <a:stretch>
          <a:fillRect/>
        </a:stretch>
      </xdr:blipFill>
      <xdr:spPr>
        <a:xfrm>
          <a:off x="3883343" y="430130"/>
          <a:ext cx="704986" cy="734015"/>
        </a:xfrm>
        <a:prstGeom prst="rect">
          <a:avLst/>
        </a:prstGeom>
      </xdr:spPr>
    </xdr:pic>
    <xdr:clientData/>
  </xdr:twoCellAnchor>
  <xdr:twoCellAnchor editAs="oneCell">
    <xdr:from>
      <xdr:col>28</xdr:col>
      <xdr:colOff>414428</xdr:colOff>
      <xdr:row>2</xdr:row>
      <xdr:rowOff>29172</xdr:rowOff>
    </xdr:from>
    <xdr:to>
      <xdr:col>29</xdr:col>
      <xdr:colOff>509814</xdr:colOff>
      <xdr:row>6</xdr:row>
      <xdr:rowOff>22958</xdr:rowOff>
    </xdr:to>
    <xdr:pic>
      <xdr:nvPicPr>
        <xdr:cNvPr id="44" name="Picture 43">
          <a:extLst>
            <a:ext uri="{FF2B5EF4-FFF2-40B4-BE49-F238E27FC236}">
              <a16:creationId xmlns:a16="http://schemas.microsoft.com/office/drawing/2014/main" id="{00000000-0008-0000-0400-00002C000000}"/>
            </a:ext>
          </a:extLst>
        </xdr:cNvPr>
        <xdr:cNvPicPr>
          <a:picLocks noChangeAspect="1"/>
        </xdr:cNvPicPr>
      </xdr:nvPicPr>
      <xdr:blipFill>
        <a:blip xmlns:r="http://schemas.openxmlformats.org/officeDocument/2006/relationships" r:embed="rId6"/>
        <a:stretch>
          <a:fillRect/>
        </a:stretch>
      </xdr:blipFill>
      <xdr:spPr>
        <a:xfrm>
          <a:off x="17483228" y="399286"/>
          <a:ext cx="704986" cy="734015"/>
        </a:xfrm>
        <a:prstGeom prst="rect">
          <a:avLst/>
        </a:prstGeom>
      </xdr:spPr>
    </xdr:pic>
    <xdr:clientData/>
  </xdr:twoCellAnchor>
  <xdr:twoCellAnchor>
    <xdr:from>
      <xdr:col>0</xdr:col>
      <xdr:colOff>566057</xdr:colOff>
      <xdr:row>2</xdr:row>
      <xdr:rowOff>108856</xdr:rowOff>
    </xdr:from>
    <xdr:to>
      <xdr:col>5</xdr:col>
      <xdr:colOff>202829</xdr:colOff>
      <xdr:row>11</xdr:row>
      <xdr:rowOff>65314</xdr:rowOff>
    </xdr:to>
    <xdr:sp macro="" textlink="">
      <xdr:nvSpPr>
        <xdr:cNvPr id="26" name="Rounded Rectangle 25">
          <a:extLst>
            <a:ext uri="{FF2B5EF4-FFF2-40B4-BE49-F238E27FC236}">
              <a16:creationId xmlns:a16="http://schemas.microsoft.com/office/drawing/2014/main" id="{00000000-0008-0000-0400-00001A000000}"/>
            </a:ext>
          </a:extLst>
        </xdr:cNvPr>
        <xdr:cNvSpPr/>
      </xdr:nvSpPr>
      <xdr:spPr>
        <a:xfrm>
          <a:off x="566057" y="478970"/>
          <a:ext cx="2684772" cy="1621973"/>
        </a:xfrm>
        <a:prstGeom prst="roundRect">
          <a:avLst/>
        </a:prstGeom>
        <a:solidFill>
          <a:schemeClr val="accent4">
            <a:lumMod val="20000"/>
            <a:lumOff val="80000"/>
          </a:schemeClr>
        </a:solidFill>
      </xdr:spPr>
      <xdr:style>
        <a:lnRef idx="0">
          <a:schemeClr val="accent4"/>
        </a:lnRef>
        <a:fillRef idx="3">
          <a:schemeClr val="accent4"/>
        </a:fillRef>
        <a:effectRef idx="3">
          <a:schemeClr val="accent4"/>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editAs="oneCell">
    <xdr:from>
      <xdr:col>1</xdr:col>
      <xdr:colOff>283028</xdr:colOff>
      <xdr:row>3</xdr:row>
      <xdr:rowOff>97970</xdr:rowOff>
    </xdr:from>
    <xdr:to>
      <xdr:col>4</xdr:col>
      <xdr:colOff>442907</xdr:colOff>
      <xdr:row>10</xdr:row>
      <xdr:rowOff>87084</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7"/>
        <a:stretch>
          <a:fillRect/>
        </a:stretch>
      </xdr:blipFill>
      <xdr:spPr>
        <a:xfrm>
          <a:off x="892628" y="653141"/>
          <a:ext cx="1988679" cy="128451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561975</xdr:colOff>
      <xdr:row>2</xdr:row>
      <xdr:rowOff>14287</xdr:rowOff>
    </xdr:from>
    <xdr:to>
      <xdr:col>13</xdr:col>
      <xdr:colOff>219075</xdr:colOff>
      <xdr:row>19</xdr:row>
      <xdr:rowOff>161925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1095375</xdr:colOff>
      <xdr:row>29</xdr:row>
      <xdr:rowOff>90487</xdr:rowOff>
    </xdr:from>
    <xdr:to>
      <xdr:col>9</xdr:col>
      <xdr:colOff>571500</xdr:colOff>
      <xdr:row>43</xdr:row>
      <xdr:rowOff>166687</xdr:rowOff>
    </xdr:to>
    <xdr:graphicFrame macro="">
      <xdr:nvGraphicFramePr>
        <xdr:cNvPr id="4" name="Chart 3">
          <a:extLst>
            <a:ext uri="{FF2B5EF4-FFF2-40B4-BE49-F238E27FC236}">
              <a16:creationId xmlns:a16="http://schemas.microsoft.com/office/drawing/2014/main" id="{00000000-0008-0000-0800-000004000000}"/>
            </a:ext>
            <a:ext uri="{147F2762-F138-4A5C-976F-8EAC2B608ADB}">
              <a16:predDERef xmlns:a16="http://schemas.microsoft.com/office/drawing/2014/main" pred="{6683F2D3-C89C-126D-12C4-44C6D6BCE6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10</xdr:col>
      <xdr:colOff>323850</xdr:colOff>
      <xdr:row>10</xdr:row>
      <xdr:rowOff>152400</xdr:rowOff>
    </xdr:from>
    <xdr:to>
      <xdr:col>14</xdr:col>
      <xdr:colOff>337185</xdr:colOff>
      <xdr:row>15</xdr:row>
      <xdr:rowOff>66675</xdr:rowOff>
    </xdr:to>
    <mc:AlternateContent xmlns:mc="http://schemas.openxmlformats.org/markup-compatibility/2006" xmlns:a14="http://schemas.microsoft.com/office/drawing/2010/main">
      <mc:Choice Requires="a14">
        <xdr:graphicFrame macro="">
          <xdr:nvGraphicFramePr>
            <xdr:cNvPr id="3" name="Active/Inactive">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0/slicer">
              <sle:slicer xmlns:sle="http://schemas.microsoft.com/office/drawing/2010/slicer" name="Active/Inactive"/>
            </a:graphicData>
          </a:graphic>
        </xdr:graphicFrame>
      </mc:Choice>
      <mc:Fallback xmlns="">
        <xdr:sp macro="" textlink="">
          <xdr:nvSpPr>
            <xdr:cNvPr id="0" name=""/>
            <xdr:cNvSpPr>
              <a:spLocks noTextEdit="1"/>
            </xdr:cNvSpPr>
          </xdr:nvSpPr>
          <xdr:spPr>
            <a:xfrm>
              <a:off x="8601075" y="2314575"/>
              <a:ext cx="3057525" cy="1362075"/>
            </a:xfrm>
            <a:prstGeom prst="rect">
              <a:avLst/>
            </a:prstGeom>
            <a:solidFill>
              <a:prstClr val="white"/>
            </a:solidFill>
            <a:ln w="1">
              <a:solidFill>
                <a:prstClr val="green"/>
              </a:solidFill>
            </a:ln>
          </xdr:spPr>
          <xdr:txBody>
            <a:bodyPr vertOverflow="clip" horzOverflow="clip"/>
            <a:lstStyle/>
            <a:p>
              <a:endParaRPr sz="1100"/>
            </a:p>
          </xdr:txBody>
        </xdr:sp>
      </mc:Fallback>
    </mc:AlternateContent>
    <xdr:clientData/>
  </xdr:twoCellAnchor>
  <xdr:twoCellAnchor>
    <xdr:from>
      <xdr:col>15</xdr:col>
      <xdr:colOff>504825</xdr:colOff>
      <xdr:row>1</xdr:row>
      <xdr:rowOff>152400</xdr:rowOff>
    </xdr:from>
    <xdr:to>
      <xdr:col>16</xdr:col>
      <xdr:colOff>514350</xdr:colOff>
      <xdr:row>2</xdr:row>
      <xdr:rowOff>266700</xdr:rowOff>
    </xdr:to>
    <xdr:sp macro="" textlink="">
      <xdr:nvSpPr>
        <xdr:cNvPr id="5" name="Right Arrow 4">
          <a:extLst>
            <a:ext uri="{FF2B5EF4-FFF2-40B4-BE49-F238E27FC236}">
              <a16:creationId xmlns:a16="http://schemas.microsoft.com/office/drawing/2014/main" id="{00000000-0008-0000-0900-000005000000}"/>
            </a:ext>
            <a:ext uri="{147F2762-F138-4A5C-976F-8EAC2B608ADB}">
              <a16:predDERef xmlns:a16="http://schemas.microsoft.com/office/drawing/2014/main" pred="{6DB48CDB-1D6D-9856-F641-7852C5107976}"/>
            </a:ext>
          </a:extLst>
        </xdr:cNvPr>
        <xdr:cNvSpPr/>
      </xdr:nvSpPr>
      <xdr:spPr>
        <a:xfrm>
          <a:off x="13411200" y="342900"/>
          <a:ext cx="1057275" cy="504825"/>
        </a:xfrm>
        <a:prstGeom prst="rightArrow">
          <a:avLst/>
        </a:prstGeom>
        <a:gradFill rotWithShape="1">
          <a:gsLst>
            <a:gs pos="0">
              <a:srgbClr val="B5D4A7"/>
            </a:gs>
            <a:gs pos="100000">
              <a:srgbClr val="9DC987"/>
            </a:gs>
          </a:gsLst>
          <a:lin ang="5400000"/>
        </a:gradFill>
        <a:ln w="12700">
          <a:solidFill>
            <a:srgbClr val="71AB48"/>
          </a:solidFill>
          <a:prstDash val="solid"/>
        </a:ln>
        <a:effectLst/>
      </xdr:spPr>
      <xdr:style>
        <a:lnRef idx="2">
          <a:schemeClr val="accent1">
            <a:shade val="50000"/>
          </a:schemeClr>
        </a:lnRef>
        <a:fillRef idx="1">
          <a:schemeClr val="accent1"/>
        </a:fillRef>
        <a:effectRef idx="0">
          <a:schemeClr val="accent1"/>
        </a:effectRef>
        <a:fontRef idx="minor">
          <a:srgbClr val="000000"/>
        </a:fontRef>
      </xdr:style>
      <xdr:txBody>
        <a:bodyPr rtlCol="0" anchor="t"/>
        <a:lstStyle>
          <a:lvl1pPr marL="0" indent="0">
            <a:defRPr sz="1100">
              <a:solidFill>
                <a:srgbClr val="000000"/>
              </a:solidFill>
              <a:latin typeface="+mn-lt"/>
              <a:ea typeface="+mn-ea"/>
              <a:cs typeface="+mn-cs"/>
            </a:defRPr>
          </a:lvl1pPr>
          <a:lvl2pPr marL="457200" indent="0">
            <a:defRPr sz="1100">
              <a:solidFill>
                <a:srgbClr val="000000"/>
              </a:solidFill>
              <a:latin typeface="+mn-lt"/>
              <a:ea typeface="+mn-ea"/>
              <a:cs typeface="+mn-cs"/>
            </a:defRPr>
          </a:lvl2pPr>
          <a:lvl3pPr marL="914400" indent="0">
            <a:defRPr sz="1100">
              <a:solidFill>
                <a:srgbClr val="000000"/>
              </a:solidFill>
              <a:latin typeface="+mn-lt"/>
              <a:ea typeface="+mn-ea"/>
              <a:cs typeface="+mn-cs"/>
            </a:defRPr>
          </a:lvl3pPr>
          <a:lvl4pPr marL="1371600" indent="0">
            <a:defRPr sz="1100">
              <a:solidFill>
                <a:srgbClr val="000000"/>
              </a:solidFill>
              <a:latin typeface="+mn-lt"/>
              <a:ea typeface="+mn-ea"/>
              <a:cs typeface="+mn-cs"/>
            </a:defRPr>
          </a:lvl4pPr>
          <a:lvl5pPr marL="1828800" indent="0">
            <a:defRPr sz="1100">
              <a:solidFill>
                <a:srgbClr val="000000"/>
              </a:solidFill>
              <a:latin typeface="+mn-lt"/>
              <a:ea typeface="+mn-ea"/>
              <a:cs typeface="+mn-cs"/>
            </a:defRPr>
          </a:lvl5pPr>
          <a:lvl6pPr marL="2286000" indent="0">
            <a:defRPr sz="1100">
              <a:solidFill>
                <a:srgbClr val="000000"/>
              </a:solidFill>
              <a:latin typeface="+mn-lt"/>
              <a:ea typeface="+mn-ea"/>
              <a:cs typeface="+mn-cs"/>
            </a:defRPr>
          </a:lvl6pPr>
          <a:lvl7pPr marL="2743200" indent="0">
            <a:defRPr sz="1100">
              <a:solidFill>
                <a:srgbClr val="000000"/>
              </a:solidFill>
              <a:latin typeface="+mn-lt"/>
              <a:ea typeface="+mn-ea"/>
              <a:cs typeface="+mn-cs"/>
            </a:defRPr>
          </a:lvl7pPr>
          <a:lvl8pPr marL="3200400" indent="0">
            <a:defRPr sz="1100">
              <a:solidFill>
                <a:srgbClr val="000000"/>
              </a:solidFill>
              <a:latin typeface="+mn-lt"/>
              <a:ea typeface="+mn-ea"/>
              <a:cs typeface="+mn-cs"/>
            </a:defRPr>
          </a:lvl8pPr>
          <a:lvl9pPr marL="3657600" indent="0">
            <a:defRPr sz="1100">
              <a:solidFill>
                <a:srgbClr val="000000"/>
              </a:solidFill>
              <a:latin typeface="+mn-lt"/>
              <a:ea typeface="+mn-ea"/>
              <a:cs typeface="+mn-cs"/>
            </a:defRPr>
          </a:lvl9pPr>
        </a:lstStyle>
        <a:p>
          <a:pPr algn="l"/>
          <a:endParaRPr lang="en-US"/>
        </a:p>
      </xdr:txBody>
    </xdr:sp>
    <xdr:clientData/>
  </xdr:twoCellAnchor>
  <xdr:twoCellAnchor editAs="oneCell">
    <xdr:from>
      <xdr:col>12</xdr:col>
      <xdr:colOff>19050</xdr:colOff>
      <xdr:row>2</xdr:row>
      <xdr:rowOff>28575</xdr:rowOff>
    </xdr:from>
    <xdr:to>
      <xdr:col>14</xdr:col>
      <xdr:colOff>314325</xdr:colOff>
      <xdr:row>5</xdr:row>
      <xdr:rowOff>428625</xdr:rowOff>
    </xdr:to>
    <mc:AlternateContent xmlns:mc="http://schemas.openxmlformats.org/markup-compatibility/2006" xmlns:a14="http://schemas.microsoft.com/office/drawing/2010/main">
      <mc:Choice Requires="a14">
        <xdr:graphicFrame macro="">
          <xdr:nvGraphicFramePr>
            <xdr:cNvPr id="2" name="Current Stage ">
              <a:extLst>
                <a:ext uri="{FF2B5EF4-FFF2-40B4-BE49-F238E27FC236}">
                  <a16:creationId xmlns:a16="http://schemas.microsoft.com/office/drawing/2014/main" id="{00000000-0008-0000-0900-000002000000}"/>
                </a:ext>
                <a:ext uri="{147F2762-F138-4A5C-976F-8EAC2B608ADB}">
                  <a16:predDERef xmlns:a16="http://schemas.microsoft.com/office/drawing/2014/main" pred="{81C257A8-18F0-48E5-BDDB-12A316B44E8E}"/>
                </a:ext>
              </a:extLst>
            </xdr:cNvPr>
            <xdr:cNvGraphicFramePr/>
          </xdr:nvGraphicFramePr>
          <xdr:xfrm>
            <a:off x="0" y="0"/>
            <a:ext cx="0" cy="0"/>
          </xdr:xfrm>
          <a:graphic>
            <a:graphicData uri="http://schemas.microsoft.com/office/drawing/2010/slicer">
              <sle:slicer xmlns:sle="http://schemas.microsoft.com/office/drawing/2010/slicer" name="Current Stage "/>
            </a:graphicData>
          </a:graphic>
        </xdr:graphicFrame>
      </mc:Choice>
      <mc:Fallback xmlns="">
        <xdr:sp macro="" textlink="">
          <xdr:nvSpPr>
            <xdr:cNvPr id="0" name=""/>
            <xdr:cNvSpPr>
              <a:spLocks noTextEdit="1"/>
            </xdr:cNvSpPr>
          </xdr:nvSpPr>
          <xdr:spPr>
            <a:xfrm>
              <a:off x="10991850" y="571500"/>
              <a:ext cx="2200275" cy="1485900"/>
            </a:xfrm>
            <a:prstGeom prst="rect">
              <a:avLst/>
            </a:prstGeom>
            <a:solidFill>
              <a:prstClr val="white"/>
            </a:solidFill>
            <a:ln w="1">
              <a:solidFill>
                <a:prstClr val="green"/>
              </a:solidFill>
            </a:ln>
          </xdr:spPr>
          <xdr:txBody>
            <a:bodyPr vertOverflow="clip" horzOverflow="clip"/>
            <a:lstStyle/>
            <a:p>
              <a:endParaRPr sz="1100"/>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142875</xdr:colOff>
      <xdr:row>1</xdr:row>
      <xdr:rowOff>1</xdr:rowOff>
    </xdr:from>
    <xdr:to>
      <xdr:col>4</xdr:col>
      <xdr:colOff>1971675</xdr:colOff>
      <xdr:row>5</xdr:row>
      <xdr:rowOff>95251</xdr:rowOff>
    </xdr:to>
    <mc:AlternateContent xmlns:mc="http://schemas.openxmlformats.org/markup-compatibility/2006" xmlns:a14="http://schemas.microsoft.com/office/drawing/2010/main">
      <mc:Choice Requires="a14">
        <xdr:graphicFrame macro="">
          <xdr:nvGraphicFramePr>
            <xdr:cNvPr id="3" name="Gemini qualifies(Yes/No)">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microsoft.com/office/drawing/2010/slicer">
              <sle:slicer xmlns:sle="http://schemas.microsoft.com/office/drawing/2010/slicer" name="Gemini qualifies(Yes/No)"/>
            </a:graphicData>
          </a:graphic>
        </xdr:graphicFrame>
      </mc:Choice>
      <mc:Fallback xmlns="">
        <xdr:sp macro="" textlink="">
          <xdr:nvSpPr>
            <xdr:cNvPr id="0" name=""/>
            <xdr:cNvSpPr>
              <a:spLocks noTextEdit="1"/>
            </xdr:cNvSpPr>
          </xdr:nvSpPr>
          <xdr:spPr>
            <a:xfrm>
              <a:off x="7324725" y="190501"/>
              <a:ext cx="1828800" cy="8572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388620</xdr:colOff>
      <xdr:row>6</xdr:row>
      <xdr:rowOff>114300</xdr:rowOff>
    </xdr:from>
    <xdr:to>
      <xdr:col>4</xdr:col>
      <xdr:colOff>624840</xdr:colOff>
      <xdr:row>20</xdr:row>
      <xdr:rowOff>20955</xdr:rowOff>
    </xdr:to>
    <mc:AlternateContent xmlns:mc="http://schemas.openxmlformats.org/markup-compatibility/2006" xmlns:a14="http://schemas.microsoft.com/office/drawing/2010/main">
      <mc:Choice Requires="a14">
        <xdr:graphicFrame macro="">
          <xdr:nvGraphicFramePr>
            <xdr:cNvPr id="2" name="Tenderer">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microsoft.com/office/drawing/2010/slicer">
              <sle:slicer xmlns:sle="http://schemas.microsoft.com/office/drawing/2010/slicer" name="Tenderer"/>
            </a:graphicData>
          </a:graphic>
        </xdr:graphicFrame>
      </mc:Choice>
      <mc:Fallback xmlns="">
        <xdr:sp macro="" textlink="">
          <xdr:nvSpPr>
            <xdr:cNvPr id="0" name=""/>
            <xdr:cNvSpPr>
              <a:spLocks noTextEdit="1"/>
            </xdr:cNvSpPr>
          </xdr:nvSpPr>
          <xdr:spPr>
            <a:xfrm>
              <a:off x="2331720" y="1211580"/>
              <a:ext cx="1828800" cy="2466975"/>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38100</xdr:colOff>
      <xdr:row>1</xdr:row>
      <xdr:rowOff>53340</xdr:rowOff>
    </xdr:from>
    <xdr:to>
      <xdr:col>9</xdr:col>
      <xdr:colOff>342900</xdr:colOff>
      <xdr:row>14</xdr:row>
      <xdr:rowOff>142875</xdr:rowOff>
    </xdr:to>
    <mc:AlternateContent xmlns:mc="http://schemas.openxmlformats.org/markup-compatibility/2006" xmlns:a14="http://schemas.microsoft.com/office/drawing/2010/main">
      <mc:Choice Requires="a14">
        <xdr:graphicFrame macro="">
          <xdr:nvGraphicFramePr>
            <xdr:cNvPr id="3" name="Status">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5905500" y="236220"/>
              <a:ext cx="1828800" cy="2466975"/>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91440</xdr:colOff>
      <xdr:row>1</xdr:row>
      <xdr:rowOff>121920</xdr:rowOff>
    </xdr:from>
    <xdr:to>
      <xdr:col>12</xdr:col>
      <xdr:colOff>30480</xdr:colOff>
      <xdr:row>15</xdr:row>
      <xdr:rowOff>28575</xdr:rowOff>
    </xdr:to>
    <mc:AlternateContent xmlns:mc="http://schemas.openxmlformats.org/markup-compatibility/2006" xmlns:a14="http://schemas.microsoft.com/office/drawing/2010/main">
      <mc:Choice Requires="a14">
        <xdr:graphicFrame macro="">
          <xdr:nvGraphicFramePr>
            <xdr:cNvPr id="4" name="Refund status">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microsoft.com/office/drawing/2010/slicer">
              <sle:slicer xmlns:sle="http://schemas.microsoft.com/office/drawing/2010/slicer" name="Refund status"/>
            </a:graphicData>
          </a:graphic>
        </xdr:graphicFrame>
      </mc:Choice>
      <mc:Fallback xmlns="">
        <xdr:sp macro="" textlink="">
          <xdr:nvSpPr>
            <xdr:cNvPr id="0" name=""/>
            <xdr:cNvSpPr>
              <a:spLocks noTextEdit="1"/>
            </xdr:cNvSpPr>
          </xdr:nvSpPr>
          <xdr:spPr>
            <a:xfrm>
              <a:off x="8694420" y="304800"/>
              <a:ext cx="1828800" cy="2466975"/>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525780</xdr:colOff>
      <xdr:row>0</xdr:row>
      <xdr:rowOff>160020</xdr:rowOff>
    </xdr:from>
    <xdr:to>
      <xdr:col>16</xdr:col>
      <xdr:colOff>525780</xdr:colOff>
      <xdr:row>14</xdr:row>
      <xdr:rowOff>66675</xdr:rowOff>
    </xdr:to>
    <mc:AlternateContent xmlns:mc="http://schemas.openxmlformats.org/markup-compatibility/2006" xmlns:a14="http://schemas.microsoft.com/office/drawing/2010/main">
      <mc:Choice Requires="a14">
        <xdr:graphicFrame macro="">
          <xdr:nvGraphicFramePr>
            <xdr:cNvPr id="5" name="Comments">
              <a:extLst>
                <a:ext uri="{FF2B5EF4-FFF2-40B4-BE49-F238E27FC236}">
                  <a16:creationId xmlns:a16="http://schemas.microsoft.com/office/drawing/2014/main" id="{00000000-0008-0000-0C00-000005000000}"/>
                </a:ext>
              </a:extLst>
            </xdr:cNvPr>
            <xdr:cNvGraphicFramePr/>
          </xdr:nvGraphicFramePr>
          <xdr:xfrm>
            <a:off x="0" y="0"/>
            <a:ext cx="0" cy="0"/>
          </xdr:xfrm>
          <a:graphic>
            <a:graphicData uri="http://schemas.microsoft.com/office/drawing/2010/slicer">
              <sle:slicer xmlns:sle="http://schemas.microsoft.com/office/drawing/2010/slicer" name="Comments"/>
            </a:graphicData>
          </a:graphic>
        </xdr:graphicFrame>
      </mc:Choice>
      <mc:Fallback xmlns="">
        <xdr:sp macro="" textlink="">
          <xdr:nvSpPr>
            <xdr:cNvPr id="0" name=""/>
            <xdr:cNvSpPr>
              <a:spLocks noTextEdit="1"/>
            </xdr:cNvSpPr>
          </xdr:nvSpPr>
          <xdr:spPr>
            <a:xfrm>
              <a:off x="11628120" y="160020"/>
              <a:ext cx="1828800" cy="2466975"/>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259080</xdr:colOff>
      <xdr:row>10</xdr:row>
      <xdr:rowOff>64770</xdr:rowOff>
    </xdr:from>
    <xdr:to>
      <xdr:col>13</xdr:col>
      <xdr:colOff>563880</xdr:colOff>
      <xdr:row>25</xdr:row>
      <xdr:rowOff>64770</xdr:rowOff>
    </xdr:to>
    <xdr:graphicFrame macro="">
      <xdr:nvGraphicFramePr>
        <xdr:cNvPr id="6" name="Chart 5">
          <a:extLst>
            <a:ext uri="{FF2B5EF4-FFF2-40B4-BE49-F238E27FC236}">
              <a16:creationId xmlns:a16="http://schemas.microsoft.com/office/drawing/2014/main" id="{00000000-0008-0000-0C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257175</xdr:colOff>
      <xdr:row>1</xdr:row>
      <xdr:rowOff>161925</xdr:rowOff>
    </xdr:from>
    <xdr:to>
      <xdr:col>13</xdr:col>
      <xdr:colOff>171450</xdr:colOff>
      <xdr:row>27</xdr:row>
      <xdr:rowOff>142875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342899</xdr:colOff>
      <xdr:row>1</xdr:row>
      <xdr:rowOff>61910</xdr:rowOff>
    </xdr:from>
    <xdr:to>
      <xdr:col>10</xdr:col>
      <xdr:colOff>49773</xdr:colOff>
      <xdr:row>15</xdr:row>
      <xdr:rowOff>104775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142875</xdr:colOff>
      <xdr:row>17</xdr:row>
      <xdr:rowOff>14287</xdr:rowOff>
    </xdr:from>
    <xdr:to>
      <xdr:col>10</xdr:col>
      <xdr:colOff>447675</xdr:colOff>
      <xdr:row>31</xdr:row>
      <xdr:rowOff>90487</xdr:rowOff>
    </xdr:to>
    <xdr:graphicFrame macro="">
      <xdr:nvGraphicFramePr>
        <xdr:cNvPr id="3" name="Chart 2">
          <a:extLst>
            <a:ext uri="{FF2B5EF4-FFF2-40B4-BE49-F238E27FC236}">
              <a16:creationId xmlns:a16="http://schemas.microsoft.com/office/drawing/2014/main" id="{00000000-0008-0000-0F00-000003000000}"/>
            </a:ext>
            <a:ext uri="{147F2762-F138-4A5C-976F-8EAC2B608ADB}">
              <a16:predDERef xmlns:a16="http://schemas.microsoft.com/office/drawing/2014/main" pred="{525462A8-BE43-4599-B2F4-926AAB3FE3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600075</xdr:colOff>
      <xdr:row>34</xdr:row>
      <xdr:rowOff>128587</xdr:rowOff>
    </xdr:from>
    <xdr:to>
      <xdr:col>10</xdr:col>
      <xdr:colOff>295275</xdr:colOff>
      <xdr:row>49</xdr:row>
      <xdr:rowOff>14287</xdr:rowOff>
    </xdr:to>
    <xdr:graphicFrame macro="">
      <xdr:nvGraphicFramePr>
        <xdr:cNvPr id="4" name="Chart 3">
          <a:extLst>
            <a:ext uri="{FF2B5EF4-FFF2-40B4-BE49-F238E27FC236}">
              <a16:creationId xmlns:a16="http://schemas.microsoft.com/office/drawing/2014/main" id="{00000000-0008-0000-0F00-000004000000}"/>
            </a:ext>
            <a:ext uri="{147F2762-F138-4A5C-976F-8EAC2B608ADB}">
              <a16:predDERef xmlns:a16="http://schemas.microsoft.com/office/drawing/2014/main" pred="{48BE073C-3732-70D9-89CD-23CB8D89B8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295275</xdr:colOff>
      <xdr:row>58</xdr:row>
      <xdr:rowOff>128587</xdr:rowOff>
    </xdr:from>
    <xdr:to>
      <xdr:col>13</xdr:col>
      <xdr:colOff>457200</xdr:colOff>
      <xdr:row>75</xdr:row>
      <xdr:rowOff>130087</xdr:rowOff>
    </xdr:to>
    <xdr:graphicFrame macro="">
      <xdr:nvGraphicFramePr>
        <xdr:cNvPr id="5" name="Chart 4">
          <a:extLst>
            <a:ext uri="{FF2B5EF4-FFF2-40B4-BE49-F238E27FC236}">
              <a16:creationId xmlns:a16="http://schemas.microsoft.com/office/drawing/2014/main" id="{00000000-0008-0000-0F00-000005000000}"/>
            </a:ext>
            <a:ext uri="{147F2762-F138-4A5C-976F-8EAC2B608ADB}">
              <a16:predDERef xmlns:a16="http://schemas.microsoft.com/office/drawing/2014/main" pred="{66BDBBE7-D3B7-A032-A5A4-84D55BDD67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Palak Jain" id="{703C5E24-E81C-4ABE-8B3E-8A7B952A556B}" userId="S::palak.jain@geminisolutions.com::d10362ef-1e18-4223-88a9-f6d0aa1fcc1e" providerId="AD"/>
  <person displayName="Harsh Kumar Gupta" id="{753226FF-718A-45EA-84F0-A50F3805D3DD}" userId="S::harsh.gupta@geminisolutions.com::cfeb6550-3cc3-448e-a19f-8d041be2e7de" providerId="AD"/>
  <person displayName="Swati Shukla" id="{9B55A0CC-B97A-40F4-8A50-38FD40AA09A4}" userId="S::swati.shukla@Geminisolutions.com::50e2e172-7f9c-45a2-9b7f-10847394d4eb" providerId="AD"/>
  <person displayName="Swati Shukla" id="{8E3EC696-732B-4AAA-8E87-0D2813C9C6FB}" userId="S::swati.shukla@geminisolutions.com::50e2e172-7f9c-45a2-9b7f-10847394d4eb"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wati Shukla" refreshedDate="45072.608847916665" createdVersion="8" refreshedVersion="8" minRefreshableVersion="3" recordCount="49" xr:uid="{00000000-000A-0000-FFFF-FFFF07000000}">
  <cacheSource type="worksheet">
    <worksheetSource ref="A1:I1048576" sheet="Working sheet"/>
  </cacheSource>
  <cacheFields count="9">
    <cacheField name="Case ID" numFmtId="0">
      <sharedItems containsString="0" containsBlank="1" containsNumber="1" containsInteger="1" minValue="1" maxValue="54"/>
    </cacheField>
    <cacheField name="Tender ID" numFmtId="0">
      <sharedItems containsBlank="1"/>
    </cacheField>
    <cacheField name="Active/Inactive" numFmtId="0">
      <sharedItems containsBlank="1" count="9">
        <s v="Inactive"/>
        <s v="Filed, result awaited"/>
        <s v="Filed and Refund Received"/>
        <s v="Filed but cancelled by tenderer"/>
        <s v="Filed and Selected"/>
        <s v="Active"/>
        <m/>
        <s v="Filed" u="1"/>
        <s v="Filed, refund awaited" u="1"/>
      </sharedItems>
    </cacheField>
    <cacheField name="Date received" numFmtId="14">
      <sharedItems containsNonDate="0" containsDate="1" containsString="0" containsBlank="1" minDate="2022-09-12T00:00:00" maxDate="2023-05-16T00:00:00"/>
    </cacheField>
    <cacheField name="Date received (Month/Year)" numFmtId="17">
      <sharedItems containsDate="1" containsBlank="1" containsMixedTypes="1" minDate="2023-01-23T00:00:00" maxDate="2023-05-24T00:00:00" count="16">
        <s v="Sep/22"/>
        <s v="Oct/22"/>
        <s v="Nov/22"/>
        <s v="Dec/22"/>
        <s v="Jan/23"/>
        <s v="Feb/23"/>
        <s v="Mar/23"/>
        <s v="Apr/23"/>
        <s v="May/23"/>
        <m/>
        <d v="2023-02-23T00:00:00" u="1"/>
        <d v="2023-01-23T00:00:00" u="1"/>
        <d v="2023-05-23T00:00:00" u="1"/>
        <d v="2023-01-27T00:00:00" u="1"/>
        <d v="2023-04-23T00:00:00" u="1"/>
        <d v="2023-03-23T00:00:00" u="1"/>
      </sharedItems>
    </cacheField>
    <cacheField name="Days from today" numFmtId="1">
      <sharedItems containsString="0" containsBlank="1" containsNumber="1" containsInteger="1" minValue="14" maxValue="256"/>
    </cacheField>
    <cacheField name="Last 30 days" numFmtId="0">
      <sharedItems containsBlank="1"/>
    </cacheField>
    <cacheField name="Source" numFmtId="0">
      <sharedItems containsBlank="1"/>
    </cacheField>
    <cacheField name="Acronym"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wati Shukla" refreshedDate="45072.608847916665" createdVersion="8" refreshedVersion="8" minRefreshableVersion="3" recordCount="35" xr:uid="{00000000-000A-0000-FFFF-FFFF06000000}">
  <cacheSource type="worksheet">
    <worksheetSource ref="A1:B42" sheet="Qualifying parameters"/>
  </cacheSource>
  <cacheFields count="2">
    <cacheField name="Parameters" numFmtId="0">
      <sharedItems containsBlank="1" count="34">
        <s v="Hardware installation"/>
        <s v="100 crore annual turnover"/>
        <s v="CERT-IN empaneled organization"/>
        <s v="Consultancy to any commercial bank"/>
        <s v="Web Intelligence tool procurement/intallation"/>
        <s v="Authorized by OEM"/>
        <s v="MSME-Medium"/>
        <s v="&gt;40 Crore turnover in last 3 years"/>
        <s v="Maintainence and administration of IT services"/>
        <s v="Finacle 10 Core banking solutions experience"/>
        <s v="Experience in banking services Central / State Govt Organization / PSU / Public Listed Company"/>
        <s v="Inventory management with OEM support"/>
        <s v="Business continuity plans (BCP) and disaster recovery plans (DRP)"/>
        <s v="OEM partner"/>
        <s v="Site preparation for data centre"/>
        <s v="valid ISO 9001:2008/2015 Certificate or ISO 20000 Certificate"/>
        <s v="Website Application Security Platform Software /OEM"/>
        <s v="Face Recognition System Software, Face Recognition_x000a_System Software with Attendance solution OEM"/>
        <s v="ISO 27001:2013"/>
        <s v="Data centre set up"/>
        <s v="Firewall solution"/>
        <s v="dns security"/>
        <s v="Pipestress software(Nuclear)"/>
        <s v="AI/ML based voicebot/chatbot"/>
        <s v="Cybersecurity"/>
        <s v="E- payment provider"/>
        <s v="Payment reconcilations"/>
        <s v="E-Learning platform Experience in last 3 Year"/>
        <s v="Web based application with firewall"/>
        <s v="Antivirus"/>
        <s v="Government Experience"/>
        <s v="OEM Certificate"/>
        <s v="PCI-DSS certificate "/>
        <m/>
      </sharedItems>
    </cacheField>
    <cacheField name="Gemini qualifies(Yes/No)" numFmtId="0">
      <sharedItems containsBlank="1" count="3">
        <s v="No"/>
        <s v="Yes"/>
        <m/>
      </sharedItems>
    </cacheField>
  </cacheFields>
  <extLst>
    <ext xmlns:x14="http://schemas.microsoft.com/office/spreadsheetml/2009/9/main" uri="{725AE2AE-9491-48be-B2B4-4EB974FC3084}">
      <x14:pivotCacheDefinition pivotCacheId="72395907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wati Shukla" refreshedDate="45072.608848148149" createdVersion="8" refreshedVersion="8" minRefreshableVersion="3" recordCount="35" xr:uid="{00000000-000A-0000-FFFF-FFFF05000000}">
  <cacheSource type="worksheet">
    <worksheetSource ref="A1:B1048576" sheet="Qualifying parameters"/>
  </cacheSource>
  <cacheFields count="2">
    <cacheField name="Parameters" numFmtId="0">
      <sharedItems containsBlank="1" count="34">
        <s v="Hardware installation"/>
        <s v="100 crore annual turnover"/>
        <s v="CERT-IN empaneled organization"/>
        <s v="Consultancy to any commercial bank"/>
        <s v="Web Intelligence tool procurement/intallation"/>
        <s v="Authorized by OEM"/>
        <s v="MSME-Medium"/>
        <s v="&gt;40 Crore turnover in last 3 years"/>
        <s v="Maintainence and administration of IT services"/>
        <s v="Finacle 10 Core banking solutions experience"/>
        <s v="Experience in banking services Central / State Govt Organization / PSU / Public Listed Company"/>
        <s v="Inventory management with OEM support"/>
        <s v="Business continuity plans (BCP) and disaster recovery plans (DRP)"/>
        <s v="OEM partner"/>
        <s v="Site preparation for data centre"/>
        <s v="valid ISO 9001:2008/2015 Certificate or ISO 20000 Certificate"/>
        <s v="Website Application Security Platform Software /OEM"/>
        <s v="Face Recognition System Software, Face Recognition_x000a_System Software with Attendance solution OEM"/>
        <s v="ISO 27001:2013"/>
        <s v="Data centre set up"/>
        <s v="Firewall solution"/>
        <s v="dns security"/>
        <s v="Pipestress software(Nuclear)"/>
        <s v="AI/ML based voicebot/chatbot"/>
        <s v="Cybersecurity"/>
        <s v="E- payment provider"/>
        <s v="Payment reconcilations"/>
        <s v="E-Learning platform Experience in last 3 Year"/>
        <s v="Web based application with firewall"/>
        <s v="Antivirus"/>
        <s v="Government Experience"/>
        <s v="OEM Certificate"/>
        <s v="PCI-DSS certificate "/>
        <m/>
      </sharedItems>
    </cacheField>
    <cacheField name="Gemini qualifies(Yes/No)" numFmtId="0">
      <sharedItems containsBlank="1" count="3">
        <s v="No"/>
        <s v="Yes"/>
        <m/>
      </sharedItems>
    </cacheField>
  </cacheFields>
  <extLst>
    <ext xmlns:x14="http://schemas.microsoft.com/office/spreadsheetml/2009/9/main" uri="{725AE2AE-9491-48be-B2B4-4EB974FC3084}">
      <x14:pivotCacheDefinition pivotCacheId="4704158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wati Shukla" refreshedDate="45072.608848263888" createdVersion="8" refreshedVersion="8" minRefreshableVersion="3" recordCount="65" xr:uid="{00000000-000A-0000-FFFF-FFFF04000000}">
  <cacheSource type="worksheet">
    <worksheetSource ref="I1:J1048576" sheet="Testing"/>
  </cacheSource>
  <cacheFields count="2">
    <cacheField name="Current Stage " numFmtId="0">
      <sharedItems containsBlank="1" count="7">
        <s v="Submitted"/>
        <s v="Documentation"/>
        <s v="Follow up with management-Overdue"/>
        <m/>
        <s v="" u="1"/>
        <s v="Filling" u="1"/>
        <s v="Not to be pursued" u="1"/>
      </sharedItems>
    </cacheField>
    <cacheField name="Acronym" numFmtId="0">
      <sharedItems containsBlank="1" containsMixedTypes="1" containsNumber="1" containsInteger="1" minValue="0" maxValue="0" count="3">
        <s v="Punjab skill"/>
        <n v="0"/>
        <m/>
      </sharedItems>
    </cacheField>
  </cacheFields>
  <extLst>
    <ext xmlns:x14="http://schemas.microsoft.com/office/spreadsheetml/2009/9/main" uri="{725AE2AE-9491-48be-B2B4-4EB974FC3084}">
      <x14:pivotCacheDefinition pivotCacheId="4300759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wati Shukla" refreshedDate="45072.608848611111" createdVersion="8" refreshedVersion="8" minRefreshableVersion="3" recordCount="49" xr:uid="{00000000-000A-0000-FFFF-FFFF03000000}">
  <cacheSource type="worksheet">
    <worksheetSource ref="A1:T1048576" sheet="Working sheet"/>
  </cacheSource>
  <cacheFields count="20">
    <cacheField name="Case ID" numFmtId="0">
      <sharedItems containsString="0" containsBlank="1" containsNumber="1" containsInteger="1" minValue="1" maxValue="54"/>
    </cacheField>
    <cacheField name="Tender ID" numFmtId="0">
      <sharedItems containsBlank="1"/>
    </cacheField>
    <cacheField name="Active/Inactive" numFmtId="0">
      <sharedItems containsBlank="1" count="9">
        <s v="Inactive"/>
        <s v="Filed, result awaited"/>
        <s v="Filed and Refund Received"/>
        <s v="Filed but cancelled by tenderer"/>
        <s v="Filed and Selected"/>
        <s v="Active"/>
        <m/>
        <s v="Filed" u="1"/>
        <s v="Filed, refund awaited" u="1"/>
      </sharedItems>
    </cacheField>
    <cacheField name="Date received" numFmtId="14">
      <sharedItems containsNonDate="0" containsDate="1" containsString="0" containsBlank="1" minDate="2022-09-12T00:00:00" maxDate="2023-06-02T00:00:00" count="32">
        <d v="2022-09-12T00:00:00"/>
        <d v="2022-09-28T00:00:00"/>
        <d v="2022-10-10T00:00:00"/>
        <d v="2022-10-05T00:00:00"/>
        <d v="2022-10-11T00:00:00"/>
        <d v="2022-10-20T00:00:00"/>
        <d v="2022-11-05T00:00:00"/>
        <d v="2022-11-12T00:00:00"/>
        <d v="2022-11-18T00:00:00"/>
        <d v="2022-11-24T00:00:00"/>
        <d v="2022-12-05T00:00:00"/>
        <d v="2022-12-10T00:00:00"/>
        <d v="2022-12-19T00:00:00"/>
        <d v="2022-12-27T00:00:00"/>
        <d v="2022-12-29T00:00:00"/>
        <d v="2023-01-06T00:00:00"/>
        <d v="2023-01-25T00:00:00"/>
        <d v="2023-02-07T00:00:00"/>
        <d v="2023-02-09T00:00:00"/>
        <d v="2023-02-15T00:00:00"/>
        <d v="2023-02-20T00:00:00"/>
        <d v="2023-02-27T00:00:00"/>
        <d v="2023-03-06T00:00:00"/>
        <d v="2023-03-10T00:00:00"/>
        <d v="2023-03-13T00:00:00"/>
        <d v="2023-03-28T00:00:00"/>
        <d v="2023-04-08T00:00:00"/>
        <d v="2023-04-24T00:00:00"/>
        <d v="2023-05-15T00:00:00"/>
        <m/>
        <d v="2023-06-01T00:00:00" u="1"/>
        <d v="2023-03-29T00:00:00" u="1"/>
      </sharedItems>
    </cacheField>
    <cacheField name="Date received (Month/Year)" numFmtId="17">
      <sharedItems containsBlank="1"/>
    </cacheField>
    <cacheField name="Days from today" numFmtId="1">
      <sharedItems containsString="0" containsBlank="1" containsNumber="1" containsInteger="1" minValue="14" maxValue="256"/>
    </cacheField>
    <cacheField name="Last 30 days" numFmtId="0">
      <sharedItems containsBlank="1"/>
    </cacheField>
    <cacheField name="Source" numFmtId="0">
      <sharedItems containsBlank="1" count="13">
        <s v="Tender Tiger"/>
        <s v="Prashank's lead"/>
        <s v="GeM"/>
        <s v="eproc Punjab"/>
        <s v="MP Procurement Portal"/>
        <s v="CPPP"/>
        <s v="HP _x000a_Procurement_x000a_ Portal"/>
        <s v="Haryana Procurement Portal"/>
        <s v="UP Procurement Portal"/>
        <s v="Punjab Portal"/>
        <s v="Rajasthan Procurement"/>
        <m/>
        <s v="Tender Lion" u="1"/>
      </sharedItems>
    </cacheField>
    <cacheField name="Acronym" numFmtId="0">
      <sharedItems containsBlank="1"/>
    </cacheField>
    <cacheField name="Name of Tendering authority" numFmtId="0">
      <sharedItems containsBlank="1"/>
    </cacheField>
    <cacheField name="Closing date" numFmtId="0">
      <sharedItems containsNonDate="0" containsDate="1" containsString="0" containsBlank="1" minDate="2022-09-30T00:00:00" maxDate="2023-06-01T00:00:00"/>
    </cacheField>
    <cacheField name="Days left" numFmtId="1">
      <sharedItems containsString="0" containsBlank="1" containsNumber="1" containsInteger="1" minValue="-238" maxValue="16"/>
    </cacheField>
    <cacheField name="Current status" numFmtId="0">
      <sharedItems containsBlank="1"/>
    </cacheField>
    <cacheField name="Technical go ahead received" numFmtId="0">
      <sharedItems containsBlank="1"/>
    </cacheField>
    <cacheField name="Final status" numFmtId="0">
      <sharedItems containsBlank="1"/>
    </cacheField>
    <cacheField name="Primary reason of disqualification" numFmtId="0">
      <sharedItems containsBlank="1" count="23">
        <s v="Experience in banking services Central / State Govt Organization / PSU / Public Listed Company"/>
        <s v="Hardware installation required"/>
        <s v="Not experienced in Govt/PSU projects"/>
        <s v="Not empanelled under CERT -IN "/>
        <s v="Web Intelligence tool procurement/intallation"/>
        <s v="Experience in working for Central / State Govt Organization / PSU / Public Listed Company"/>
        <s v="No response received from management"/>
        <s v="Experience in providing similar services to Universities"/>
        <s v="experience in providing BBPS  BHARAT BILL PAYMENT (BBPS) AND CREDIT_x000a_FACILITIES (BNPL) services"/>
        <s v="Experience in AI/ML based Voicebot or Chatbot implementation"/>
        <s v="Programmable logic controller"/>
        <s v="CMMI-3"/>
        <s v="We do not work on PHP-Laravel technology"/>
        <m/>
        <s v="Local office required"/>
        <s v="Completion certificate required from client"/>
        <s v="No response received for technical feasibility"/>
        <s v="At least 100 full time ERP professionals"/>
        <s v="Filed"/>
        <s v="Experience in HIMS- projects with 5 hospitals" u="1"/>
        <s v="Under analysis" u="1"/>
        <s v="Request for evidence" u="1"/>
        <s v="Filing under process" u="1"/>
      </sharedItems>
    </cacheField>
    <cacheField name="Requirements not met for qualification" numFmtId="0">
      <sharedItems containsBlank="1" longText="1"/>
    </cacheField>
    <cacheField name="Management view" numFmtId="0">
      <sharedItems containsBlank="1" longText="1"/>
    </cacheField>
    <cacheField name="Requirements" numFmtId="0">
      <sharedItems containsBlank="1" longText="1"/>
    </cacheField>
    <cacheField name="Relevant links"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wati Shukla" refreshedDate="45072.608849189812" createdVersion="8" refreshedVersion="8" minRefreshableVersion="3" recordCount="49" xr:uid="{00000000-000A-0000-FFFF-FFFF02000000}">
  <cacheSource type="worksheet">
    <worksheetSource ref="A1:U1048576" sheet="Working sheet"/>
  </cacheSource>
  <cacheFields count="21">
    <cacheField name="Case ID" numFmtId="0">
      <sharedItems containsString="0" containsBlank="1" containsNumber="1" containsInteger="1" minValue="1" maxValue="54" count="48">
        <n v="1"/>
        <n v="2"/>
        <n v="3"/>
        <n v="4"/>
        <n v="5"/>
        <n v="6"/>
        <n v="7"/>
        <n v="8"/>
        <n v="9"/>
        <n v="10"/>
        <n v="11"/>
        <n v="12"/>
        <n v="13"/>
        <n v="14"/>
        <n v="15"/>
        <n v="16"/>
        <n v="17"/>
        <n v="18"/>
        <n v="19"/>
        <n v="20"/>
        <n v="21"/>
        <n v="22"/>
        <n v="23"/>
        <n v="24"/>
        <n v="25"/>
        <n v="26"/>
        <n v="32"/>
        <n v="33"/>
        <n v="34"/>
        <n v="35"/>
        <n v="36"/>
        <n v="37"/>
        <n v="38"/>
        <n v="39"/>
        <n v="40"/>
        <n v="41"/>
        <n v="42"/>
        <n v="43"/>
        <n v="44"/>
        <n v="45"/>
        <n v="46"/>
        <n v="49"/>
        <n v="50"/>
        <n v="51"/>
        <n v="52"/>
        <n v="53"/>
        <n v="54"/>
        <m/>
      </sharedItems>
    </cacheField>
    <cacheField name="Tender ID" numFmtId="0">
      <sharedItems containsBlank="1"/>
    </cacheField>
    <cacheField name="Active/Inactive" numFmtId="0">
      <sharedItems containsBlank="1" count="9">
        <s v="Inactive"/>
        <s v="Filed, result awaited"/>
        <s v="Filed and Refund Received"/>
        <s v="Filed but cancelled by tenderer"/>
        <s v="Filed and Selected"/>
        <s v="Active"/>
        <m/>
        <s v="Filed" u="1"/>
        <s v="Filed, refund awaited" u="1"/>
      </sharedItems>
    </cacheField>
    <cacheField name="Date received" numFmtId="14">
      <sharedItems containsNonDate="0" containsDate="1" containsString="0" containsBlank="1" minDate="2022-09-12T00:00:00" maxDate="2023-05-16T00:00:00" count="31">
        <d v="2022-09-12T00:00:00"/>
        <d v="2022-09-28T00:00:00"/>
        <d v="2022-10-10T00:00:00"/>
        <d v="2022-10-05T00:00:00"/>
        <d v="2022-10-11T00:00:00"/>
        <d v="2022-10-20T00:00:00"/>
        <d v="2022-11-05T00:00:00"/>
        <d v="2022-11-12T00:00:00"/>
        <d v="2022-11-18T00:00:00"/>
        <d v="2022-11-24T00:00:00"/>
        <d v="2022-12-05T00:00:00"/>
        <d v="2022-12-10T00:00:00"/>
        <d v="2022-12-19T00:00:00"/>
        <d v="2022-12-27T00:00:00"/>
        <d v="2022-12-29T00:00:00"/>
        <d v="2023-01-06T00:00:00"/>
        <d v="2023-01-25T00:00:00"/>
        <d v="2023-02-07T00:00:00"/>
        <d v="2023-02-09T00:00:00"/>
        <d v="2023-02-15T00:00:00"/>
        <d v="2023-02-20T00:00:00"/>
        <d v="2023-02-27T00:00:00"/>
        <d v="2023-03-06T00:00:00"/>
        <d v="2023-03-10T00:00:00"/>
        <d v="2023-03-13T00:00:00"/>
        <d v="2023-03-28T00:00:00"/>
        <d v="2023-04-08T00:00:00"/>
        <d v="2023-04-24T00:00:00"/>
        <d v="2023-05-15T00:00:00"/>
        <m/>
        <d v="2023-03-29T00:00:00" u="1"/>
      </sharedItems>
    </cacheField>
    <cacheField name="Date received (Month/Year)" numFmtId="17">
      <sharedItems containsDate="1" containsBlank="1" containsMixedTypes="1" minDate="2023-01-23T00:00:00" maxDate="2023-05-24T00:00:00" count="16">
        <s v="Sep/22"/>
        <s v="Oct/22"/>
        <s v="Nov/22"/>
        <s v="Dec/22"/>
        <s v="Jan/23"/>
        <s v="Feb/23"/>
        <s v="Mar/23"/>
        <s v="Apr/23"/>
        <s v="May/23"/>
        <m/>
        <d v="2023-02-23T00:00:00" u="1"/>
        <d v="2023-01-23T00:00:00" u="1"/>
        <d v="2023-05-23T00:00:00" u="1"/>
        <d v="2023-01-27T00:00:00" u="1"/>
        <d v="2023-04-23T00:00:00" u="1"/>
        <d v="2023-03-23T00:00:00" u="1"/>
      </sharedItems>
    </cacheField>
    <cacheField name="Days from today" numFmtId="1">
      <sharedItems containsString="0" containsBlank="1" containsNumber="1" containsInteger="1" minValue="14" maxValue="256"/>
    </cacheField>
    <cacheField name="Last 30 days" numFmtId="0">
      <sharedItems containsBlank="1"/>
    </cacheField>
    <cacheField name="Source" numFmtId="0">
      <sharedItems containsBlank="1" count="13">
        <s v="Tender Tiger"/>
        <s v="Prashank's lead"/>
        <s v="GeM"/>
        <s v="eproc Punjab"/>
        <s v="MP Procurement Portal"/>
        <s v="CPPP"/>
        <s v="HP _x000a_Procurement_x000a_ Portal"/>
        <s v="Haryana Procurement Portal"/>
        <s v="UP Procurement Portal"/>
        <s v="Punjab Portal"/>
        <s v="Rajasthan Procurement"/>
        <m/>
        <s v="Tender Lion" u="1"/>
      </sharedItems>
    </cacheField>
    <cacheField name="Acronym" numFmtId="0">
      <sharedItems containsBlank="1" count="21">
        <m/>
        <s v="EPI"/>
        <s v="DGR"/>
        <s v="Punjab skill"/>
        <s v="HARTRON"/>
        <s v="HIMS"/>
        <s v="IIFCL"/>
        <s v="ANMOL Portal"/>
        <s v="SCDLR"/>
        <s v="UPPCL"/>
        <s v="FTII"/>
        <s v="LIC"/>
        <s v="eGovernance"/>
        <s v="HRMS"/>
        <s v="ODMS"/>
        <s v="RISL"/>
        <s v="ICMR"/>
        <s v="MEFCC"/>
        <s v="MICADA"/>
        <s v="MK" u="1"/>
        <s v="ISA" u="1"/>
      </sharedItems>
    </cacheField>
    <cacheField name="Name of Tendering authority" numFmtId="0">
      <sharedItems containsBlank="1" count="48">
        <s v="Punjab National Bank"/>
        <s v="Indian Institute Of Technology"/>
        <s v="Madhusudan Law University"/>
        <s v="PSB Alliance Private Limited"/>
        <s v="Securities And Exchange Board Of India"/>
        <s v="Institute Of Microbial Technology"/>
        <s v="Maharaja Agrasen Medical College"/>
        <s v="Jorhat Medical College and Hospital-HFWD"/>
        <s v="MHA"/>
        <s v="Ministry of Defence - Website Application Security Platform Software"/>
        <s v="BHU"/>
        <s v="OIL India LIMITED"/>
        <s v="Hindustan Petroleum Corporation Limited"/>
        <s v="Rajcomp "/>
        <s v=" Rajcomp"/>
        <s v="Institute For Plasma Research"/>
        <s v="IIM-Raipur"/>
        <s v="Dept. of Land Records"/>
        <s v="_x000a_Information And Public Relation Department"/>
        <s v="Department Of Police-Kerala- Develop, revamp website"/>
        <s v="Engineering Projects (India) Limited"/>
        <s v="Metro rail corporation"/>
        <s v="Anti corruption Action line-PUNJAB"/>
        <s v="UCO bank-Kolkata"/>
        <s v="TENDER FOR DIGITALIZATION OF THE INDIAN_x000a_PHARMACOPOEIA"/>
        <s v="HRMS2 Directorate, Finance Department"/>
        <s v="GeM Data Management and Analytics System (DMAS)"/>
        <s v="Deptt of Technical Education and Industrial training||Punjab Skill Development Mission"/>
        <s v="Directorate Urban Administration and Development||Muncipal Corporations - UAD||Muncipal Corporation-Indore - UAD"/>
        <s v="The Fertilisers And Chemicals Travancore Ltd.||Head Office - FACT||Corporate materials - FACT_x000a_"/>
        <s v="PWD-PIU||Bhopal APD PIU PWD||Bhopal DPE PIU PWD"/>
        <s v="Himachal Pradesh _x000a_Agriculture Development_x000a_ Society (JICA-ODA loan)"/>
        <s v="Haryana Board Corporation||HARTRON"/>
        <s v="Haryana Government||Maharaja Agrasen Medical College"/>
        <s v="Indian Infrastructure_x000a_Finance Company Ltd. ||_x000a_"/>
        <s v="Directorate of Health Services||National Health Mission- MP"/>
        <s v="Settlement Commissioner _x000a_and Director of Land Records (M.S.) Pune||Deputy Collector and State Co-Ordinator e-Ferfar Pune"/>
        <s v="Uttar Pradesh Power Corporation Ltd.||RAPDRP PART - A Unit"/>
        <s v="Film And Television Institue of India"/>
        <s v="Life Insurance Corporation of India"/>
        <s v="Punjab State e-Governance Society"/>
        <s v="Ministry of Defence"/>
        <s v="Indian Audit and Accounts Department"/>
        <s v="RajCOMP Info Services Limited"/>
        <s v="Indian Council Of Medical Research"/>
        <s v="Ministry Of Environment Forest And Climate Change"/>
        <s v="_x0009_Haryana Board Corporation||HARTRON"/>
        <m/>
      </sharedItems>
    </cacheField>
    <cacheField name="Closing date" numFmtId="0">
      <sharedItems containsNonDate="0" containsDate="1" containsString="0" containsBlank="1" minDate="2022-09-30T00:00:00" maxDate="2023-06-01T00:00:00" count="43">
        <d v="2022-10-07T00:00:00"/>
        <d v="2022-10-06T00:00:00"/>
        <d v="2022-10-10T00:00:00"/>
        <d v="2022-09-30T00:00:00"/>
        <d v="2022-10-03T00:00:00"/>
        <d v="2022-10-05T00:00:00"/>
        <d v="2022-10-15T00:00:00"/>
        <d v="2022-10-29T00:00:00"/>
        <d v="2022-10-27T00:00:00"/>
        <d v="2022-10-31T00:00:00"/>
        <d v="2022-11-09T00:00:00"/>
        <d v="2022-11-18T00:00:00"/>
        <d v="2022-11-30T00:00:00"/>
        <d v="2022-11-28T00:00:00"/>
        <d v="2022-11-22T00:00:00"/>
        <d v="2022-11-29T00:00:00"/>
        <d v="2022-12-06T00:00:00"/>
        <d v="2022-12-09T00:00:00"/>
        <d v="2022-12-30T00:00:00"/>
        <d v="2022-12-16T00:00:00"/>
        <d v="2022-12-22T00:00:00"/>
        <d v="2022-12-13T00:00:00"/>
        <d v="2022-11-14T00:00:00"/>
        <d v="2022-12-28T00:00:00"/>
        <d v="2023-01-06T00:00:00"/>
        <d v="2023-01-17T00:00:00"/>
        <d v="2023-01-14T00:00:00"/>
        <d v="2023-01-11T00:00:00"/>
        <d v="2023-01-09T00:00:00"/>
        <d v="2023-02-28T00:00:00"/>
        <d v="2023-02-22T00:00:00"/>
        <d v="2023-03-06T00:00:00"/>
        <d v="2023-02-27T00:00:00"/>
        <d v="2023-03-01T00:00:00"/>
        <d v="2023-03-09T00:00:00"/>
        <d v="2023-03-15T00:00:00"/>
        <d v="2023-03-27T00:00:00"/>
        <d v="2023-03-28T00:00:00"/>
        <d v="2023-04-21T00:00:00"/>
        <d v="2023-05-09T00:00:00"/>
        <d v="2023-05-31T00:00:00"/>
        <m/>
        <d v="2023-04-16T00:00:00" u="1"/>
      </sharedItems>
    </cacheField>
    <cacheField name="Days left" numFmtId="1">
      <sharedItems containsString="0" containsBlank="1" containsNumber="1" containsInteger="1" minValue="-238" maxValue="16"/>
    </cacheField>
    <cacheField name="Current status" numFmtId="0">
      <sharedItems containsBlank="1"/>
    </cacheField>
    <cacheField name="Technical go ahead received" numFmtId="0">
      <sharedItems containsBlank="1"/>
    </cacheField>
    <cacheField name="Final status" numFmtId="0">
      <sharedItems containsBlank="1" count="6">
        <s v="Closing date &lt;15 days, not feasible to continue."/>
        <s v="Do not qualify"/>
        <s v="Filed"/>
        <s v="Evidence not provided-Deadline cannot be met"/>
        <s v="Under analysis"/>
        <m/>
      </sharedItems>
    </cacheField>
    <cacheField name="Primary reason of disqualification" numFmtId="0">
      <sharedItems containsBlank="1" count="19">
        <s v="Experience in banking services Central / State Govt Organization / PSU / Public Listed Company"/>
        <s v="Hardware installation required"/>
        <s v="Not experienced in Govt/PSU projects"/>
        <s v="Not empanelled under CERT -IN "/>
        <s v="Web Intelligence tool procurement/intallation"/>
        <s v="Experience in working for Central / State Govt Organization / PSU / Public Listed Company"/>
        <s v="No response received from management"/>
        <s v="Experience in providing similar services to Universities"/>
        <s v="experience in providing BBPS  BHARAT BILL PAYMENT (BBPS) AND CREDIT_x000a_FACILITIES (BNPL) services"/>
        <s v="Experience in AI/ML based Voicebot or Chatbot implementation"/>
        <s v="Programmable logic controller"/>
        <s v="CMMI-3"/>
        <s v="We do not work on PHP-Laravel technology"/>
        <m/>
        <s v="Local office required"/>
        <s v="Completion certificate required from client"/>
        <s v="No response received for technical feasibility"/>
        <s v="At least 100 full time ERP professionals"/>
        <s v="Filed"/>
      </sharedItems>
    </cacheField>
    <cacheField name="Requirements not met for qualification" numFmtId="0">
      <sharedItems containsBlank="1" longText="1"/>
    </cacheField>
    <cacheField name="Management view" numFmtId="0">
      <sharedItems containsBlank="1" longText="1"/>
    </cacheField>
    <cacheField name="Requirements" numFmtId="0">
      <sharedItems containsBlank="1" longText="1"/>
    </cacheField>
    <cacheField name="Relevant links" numFmtId="0">
      <sharedItems containsBlank="1"/>
    </cacheField>
    <cacheField name="Comments" numFmtId="0">
      <sharedItems containsBlank="1" count="25" longText="1">
        <m/>
        <s v="We had received 2 queries both responded back."/>
        <s v="Financial bid considered. We scored 55 marks as per DGR during tech evaluation. Rejected on basis of total score."/>
        <s v="https://www.ucobank.com/english/tenders.aspx"/>
        <s v="Refund of EMD received"/>
        <s v="Filed and selected."/>
        <s v="We do not have exp in HIMS, tender not pursued. 100 ERP professionals were required."/>
        <s v="Hardware requirement"/>
        <s v="Govt. experience required, pre-bid attended, no response on our query."/>
        <s v="Sent query on mail for CMMI-3 req., to check corrigendum in 2 weeks, no response received."/>
        <s v="Govt. experience required"/>
        <s v="Office required at Mumbai"/>
        <s v="Financial bid accepted however, rejected on basis of total score. We ranked 3rd here."/>
        <s v="Waiting for updated pre-bid date to clarify experience requirements. No response received."/>
        <s v="Management asked not to pursue as we do not have the comp cert."/>
        <s v="We do not have exp in HIMS, tender not pursued." u="1"/>
        <s v="Documentation is under process, requirements sent to concerned departments." u="1"/>
        <s v="Round 1 qualified-Technical evaluation and financial bid evaluation are 2 stages pending. We are scoring 75 marks in Tech evaluation(50 is eligibility). Financial bid round - bid rejected. We scored only 55 marks as per DGR during tech evaluation. We lagged behind in overall marks calculation after financial bid." u="1"/>
        <s v="Sent to management for comments" u="1"/>
        <s v="Technical evaluation and financial bid evaluation are 2 stages pending. We are scoring 75 marks in Tech evaluation(50 is eligibility)." u="1"/>
        <s v="Filed" u="1"/>
        <s v="Round 1 qualified-Technical evaluation and financial bid evaluation are 2 stages pending. We are scoring 75 marks in Tech evaluation(50 is eligibility)." u="1"/>
        <s v="Waiting for updated pre-bid date to clarify experience requirements" u="1"/>
        <s v="100 ERP professionals were req. Not pursued as we dont qualify" u="1"/>
        <s v="Financial bid opened, result awaited" u="1"/>
      </sharedItems>
    </cacheField>
  </cacheFields>
  <extLst>
    <ext xmlns:x14="http://schemas.microsoft.com/office/spreadsheetml/2009/9/main" uri="{725AE2AE-9491-48be-B2B4-4EB974FC3084}">
      <x14:pivotCacheDefinition pivotCacheId="1287587906"/>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wati Shukla" refreshedDate="45072.60885034722" createdVersion="8" refreshedVersion="8" minRefreshableVersion="3" recordCount="42" xr:uid="{00000000-000A-0000-FFFF-FFFF01000000}">
  <cacheSource type="worksheet">
    <worksheetSource ref="A1:I43" sheet="Working sheet"/>
  </cacheSource>
  <cacheFields count="9">
    <cacheField name="Case ID" numFmtId="0">
      <sharedItems containsSemiMixedTypes="0" containsString="0" containsNumber="1" containsInteger="1" minValue="1" maxValue="46"/>
    </cacheField>
    <cacheField name="Tender ID" numFmtId="0">
      <sharedItems containsBlank="1"/>
    </cacheField>
    <cacheField name="Active/Inactive" numFmtId="0">
      <sharedItems/>
    </cacheField>
    <cacheField name="Date received" numFmtId="14">
      <sharedItems containsSemiMixedTypes="0" containsNonDate="0" containsDate="1" containsString="0" minDate="2022-09-12T00:00:00" maxDate="2023-03-07T00:00:00"/>
    </cacheField>
    <cacheField name="Date received (Month/Year)" numFmtId="17">
      <sharedItems/>
    </cacheField>
    <cacheField name="Days from today" numFmtId="1">
      <sharedItems containsSemiMixedTypes="0" containsString="0" containsNumber="1" containsInteger="1" minValue="81" maxValue="256"/>
    </cacheField>
    <cacheField name="Last 30 days" numFmtId="0">
      <sharedItems containsBlank="1" count="3">
        <s v="No"/>
        <m u="1"/>
        <s v="Yes" u="1"/>
      </sharedItems>
    </cacheField>
    <cacheField name="Source" numFmtId="0">
      <sharedItems containsBlank="1" count="12">
        <s v="Tender Tiger"/>
        <s v="Prashank's lead"/>
        <s v="GeM"/>
        <s v="eproc Punjab"/>
        <s v="MP Procurement Portal"/>
        <s v="CPPP"/>
        <s v="HP _x000a_Procurement_x000a_ Portal"/>
        <s v="Haryana Procurement Portal"/>
        <s v="UP Procurement Portal"/>
        <s v="Punjab Portal"/>
        <m u="1"/>
        <s v="Tender Lion" u="1"/>
      </sharedItems>
    </cacheField>
    <cacheField name="Acronym" numFmtId="0">
      <sharedItems containsBlank="1"/>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wati Shukla" refreshedDate="45072.608850462966" createdVersion="5" refreshedVersion="8" minRefreshableVersion="3" recordCount="6" xr:uid="{00000000-000A-0000-FFFF-FFFF00000000}">
  <cacheSource type="worksheet">
    <worksheetSource ref="A1:G1048576" sheet="Payment tracking"/>
  </cacheSource>
  <cacheFields count="7">
    <cacheField name="Tenderer" numFmtId="0">
      <sharedItems containsBlank="1" count="6">
        <s v="EPI"/>
        <s v="DGR"/>
        <s v="Punjab Skill"/>
        <s v="HARTRON"/>
        <s v="eGovernance"/>
        <m/>
      </sharedItems>
    </cacheField>
    <cacheField name="Status" numFmtId="0">
      <sharedItems containsBlank="1" count="6">
        <s v="Pending final result"/>
        <s v="Filed, rejected in last round"/>
        <s v="Filed but, cancelled by tendered."/>
        <s v="Filed, Selected"/>
        <m/>
        <s v="Filed,  rejected in last round" u="1"/>
      </sharedItems>
    </cacheField>
    <cacheField name="Filed on" numFmtId="0">
      <sharedItems containsDate="1" containsBlank="1" containsMixedTypes="1" minDate="2022-09-12T00:00:00" maxDate="2023-05-02T00:00:00"/>
    </cacheField>
    <cacheField name="EMD" numFmtId="0">
      <sharedItems containsBlank="1" count="6">
        <s v="NA"/>
        <s v="INR1,00,000"/>
        <s v="INR5,00,000"/>
        <s v="INR10,00,000"/>
        <s v="INR2,00,000"/>
        <m/>
      </sharedItems>
    </cacheField>
    <cacheField name="Application fees" numFmtId="0">
      <sharedItems containsBlank="1"/>
    </cacheField>
    <cacheField name="Refund status" numFmtId="0">
      <sharedItems containsBlank="1" count="5">
        <s v="NA"/>
        <s v="Refund received, _x000a_ Account teams_x000a_ Confirmed on 30th March 2023"/>
        <s v="Refund of EMD received on 10/01. Confirmed by accounts team on mail."/>
        <s v="Refund received, _x000a_ Account teams_x000a_ Confirmed on 11/05, 2023"/>
        <m/>
      </sharedItems>
    </cacheField>
    <cacheField name="Comments" numFmtId="0">
      <sharedItems containsBlank="1" count="6">
        <s v="This is empanelment RFP. No fees will be charged. Follow-up is done innumerous times however, no response from their end."/>
        <s v="Round 1 and 2 qualified, financial bid opened, final results awaited._x000a__x000a_As per tender document &quot;EMD of unsuccessful bidders will be refunded as promptly as possible&quot;._x000a__x000a_Final round disqualified on 10th March"/>
        <s v="Application fee of INR2,000 is not refundable. EMD refund received."/>
        <s v="Hard copy submitted at Panchkula office ON 01/03/2023._x000a__x000a_If selected, INR 1,00,000 should be paid as yearly fees. Empanelment is for 2 years._x000a__x000a_Application fees of 31k is not refundable._x000a__x000a_Received selection intimation on 20/04"/>
        <s v="Financial bid conducted on 18/04._x000a_Ranked 3rd in composite marks. Could not get selected 20/04."/>
        <m/>
      </sharedItems>
    </cacheField>
  </cacheFields>
  <extLst>
    <ext xmlns:x14="http://schemas.microsoft.com/office/spreadsheetml/2009/9/main" uri="{725AE2AE-9491-48be-B2B4-4EB974FC3084}">
      <x14:pivotCacheDefinition pivotCacheId="128758790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
  <r>
    <n v="1"/>
    <m/>
    <x v="0"/>
    <d v="2022-09-12T00:00:00"/>
    <x v="0"/>
    <n v="256"/>
    <s v="No"/>
    <s v="Tender Tiger"/>
    <m/>
  </r>
  <r>
    <n v="2"/>
    <m/>
    <x v="0"/>
    <d v="2022-09-12T00:00:00"/>
    <x v="0"/>
    <n v="256"/>
    <s v="No"/>
    <s v="Tender Tiger"/>
    <m/>
  </r>
  <r>
    <n v="3"/>
    <m/>
    <x v="0"/>
    <d v="2022-09-12T00:00:00"/>
    <x v="0"/>
    <n v="256"/>
    <s v="No"/>
    <s v="Tender Tiger"/>
    <m/>
  </r>
  <r>
    <n v="4"/>
    <m/>
    <x v="0"/>
    <d v="2022-09-12T00:00:00"/>
    <x v="0"/>
    <n v="256"/>
    <s v="No"/>
    <s v="Tender Tiger"/>
    <m/>
  </r>
  <r>
    <n v="5"/>
    <m/>
    <x v="0"/>
    <d v="2022-09-12T00:00:00"/>
    <x v="0"/>
    <n v="256"/>
    <s v="No"/>
    <s v="Tender Tiger"/>
    <m/>
  </r>
  <r>
    <n v="6"/>
    <m/>
    <x v="0"/>
    <d v="2022-09-28T00:00:00"/>
    <x v="0"/>
    <n v="240"/>
    <s v="No"/>
    <s v="Tender Tiger"/>
    <m/>
  </r>
  <r>
    <n v="7"/>
    <m/>
    <x v="0"/>
    <d v="2022-09-28T00:00:00"/>
    <x v="0"/>
    <n v="240"/>
    <s v="No"/>
    <s v="Tender Tiger"/>
    <m/>
  </r>
  <r>
    <n v="8"/>
    <m/>
    <x v="0"/>
    <d v="2022-09-28T00:00:00"/>
    <x v="0"/>
    <n v="240"/>
    <s v="No"/>
    <s v="Tender Tiger"/>
    <m/>
  </r>
  <r>
    <n v="9"/>
    <m/>
    <x v="0"/>
    <d v="2022-09-28T00:00:00"/>
    <x v="0"/>
    <n v="240"/>
    <s v="No"/>
    <s v="Tender Tiger"/>
    <m/>
  </r>
  <r>
    <n v="10"/>
    <m/>
    <x v="0"/>
    <d v="2022-10-10T00:00:00"/>
    <x v="1"/>
    <n v="228"/>
    <s v="No"/>
    <s v="Tender Tiger"/>
    <m/>
  </r>
  <r>
    <n v="11"/>
    <m/>
    <x v="0"/>
    <d v="2022-10-10T00:00:00"/>
    <x v="1"/>
    <n v="228"/>
    <s v="No"/>
    <s v="Tender Tiger"/>
    <m/>
  </r>
  <r>
    <n v="12"/>
    <m/>
    <x v="0"/>
    <d v="2022-10-10T00:00:00"/>
    <x v="1"/>
    <n v="228"/>
    <s v="No"/>
    <s v="Tender Tiger"/>
    <m/>
  </r>
  <r>
    <n v="13"/>
    <m/>
    <x v="0"/>
    <d v="2022-10-05T00:00:00"/>
    <x v="1"/>
    <n v="233"/>
    <s v="No"/>
    <s v="Tender Tiger"/>
    <m/>
  </r>
  <r>
    <n v="14"/>
    <m/>
    <x v="0"/>
    <d v="2022-10-05T00:00:00"/>
    <x v="1"/>
    <n v="233"/>
    <s v="No"/>
    <s v="Tender Tiger"/>
    <m/>
  </r>
  <r>
    <n v="15"/>
    <m/>
    <x v="0"/>
    <d v="2022-10-05T00:00:00"/>
    <x v="1"/>
    <n v="233"/>
    <s v="No"/>
    <s v="Tender Tiger"/>
    <m/>
  </r>
  <r>
    <n v="16"/>
    <m/>
    <x v="0"/>
    <d v="2022-10-11T00:00:00"/>
    <x v="1"/>
    <n v="227"/>
    <s v="No"/>
    <s v="Tender Tiger"/>
    <m/>
  </r>
  <r>
    <n v="17"/>
    <m/>
    <x v="0"/>
    <d v="2022-10-11T00:00:00"/>
    <x v="1"/>
    <n v="227"/>
    <s v="No"/>
    <s v="Tender Tiger"/>
    <m/>
  </r>
  <r>
    <n v="18"/>
    <m/>
    <x v="0"/>
    <d v="2022-10-20T00:00:00"/>
    <x v="1"/>
    <n v="218"/>
    <s v="No"/>
    <s v="Tender Tiger"/>
    <m/>
  </r>
  <r>
    <n v="19"/>
    <m/>
    <x v="0"/>
    <d v="2022-10-20T00:00:00"/>
    <x v="1"/>
    <n v="218"/>
    <s v="No"/>
    <s v="Tender Tiger"/>
    <m/>
  </r>
  <r>
    <n v="19"/>
    <m/>
    <x v="0"/>
    <d v="2022-11-05T00:00:00"/>
    <x v="2"/>
    <n v="202"/>
    <s v="No"/>
    <s v="Tender Tiger"/>
    <m/>
  </r>
  <r>
    <n v="20"/>
    <m/>
    <x v="0"/>
    <d v="2022-11-12T00:00:00"/>
    <x v="2"/>
    <n v="195"/>
    <s v="No"/>
    <s v="Tender Tiger"/>
    <m/>
  </r>
  <r>
    <n v="21"/>
    <s v="2022_EPIL_686724_1"/>
    <x v="1"/>
    <d v="2022-11-18T00:00:00"/>
    <x v="2"/>
    <n v="189"/>
    <s v="No"/>
    <s v="Tender Tiger"/>
    <s v="EPI"/>
  </r>
  <r>
    <n v="22"/>
    <m/>
    <x v="0"/>
    <d v="2022-11-18T00:00:00"/>
    <x v="2"/>
    <n v="189"/>
    <s v="No"/>
    <s v="Tender Tiger"/>
    <m/>
  </r>
  <r>
    <n v="23"/>
    <s v="2022_GR_92674_1"/>
    <x v="2"/>
    <d v="2022-11-24T00:00:00"/>
    <x v="2"/>
    <n v="183"/>
    <s v="No"/>
    <s v="Tender Tiger"/>
    <s v="DGR"/>
  </r>
  <r>
    <n v="24"/>
    <m/>
    <x v="0"/>
    <d v="2022-11-24T00:00:00"/>
    <x v="2"/>
    <n v="183"/>
    <s v="No"/>
    <s v="Tender Tiger"/>
    <m/>
  </r>
  <r>
    <n v="25"/>
    <m/>
    <x v="0"/>
    <d v="2022-11-24T00:00:00"/>
    <x v="2"/>
    <n v="183"/>
    <s v="No"/>
    <s v="Tender Tiger"/>
    <m/>
  </r>
  <r>
    <n v="26"/>
    <m/>
    <x v="0"/>
    <d v="2022-11-24T00:00:00"/>
    <x v="2"/>
    <n v="183"/>
    <s v="No"/>
    <s v="Prashank's lead"/>
    <m/>
  </r>
  <r>
    <n v="32"/>
    <m/>
    <x v="0"/>
    <d v="2022-12-05T00:00:00"/>
    <x v="3"/>
    <n v="172"/>
    <s v="No"/>
    <s v="GeM"/>
    <m/>
  </r>
  <r>
    <n v="33"/>
    <s v="2022_DTE_93410_1"/>
    <x v="3"/>
    <d v="2022-12-10T00:00:00"/>
    <x v="3"/>
    <n v="167"/>
    <s v="No"/>
    <s v="eproc Punjab"/>
    <s v="Punjab skill"/>
  </r>
  <r>
    <n v="34"/>
    <m/>
    <x v="0"/>
    <d v="2022-12-19T00:00:00"/>
    <x v="3"/>
    <n v="158"/>
    <s v="No"/>
    <s v="MP Procurement Portal"/>
    <m/>
  </r>
  <r>
    <n v="35"/>
    <s v="_x0009_2022_FACT_731102_1"/>
    <x v="0"/>
    <d v="2022-12-27T00:00:00"/>
    <x v="3"/>
    <n v="150"/>
    <s v="No"/>
    <s v="CPPP"/>
    <m/>
  </r>
  <r>
    <n v="36"/>
    <s v="2022_PWPIU_239609_1"/>
    <x v="0"/>
    <d v="2022-12-27T00:00:00"/>
    <x v="3"/>
    <n v="150"/>
    <s v="No"/>
    <s v="MP Procurement Portal"/>
    <m/>
  </r>
  <r>
    <n v="37"/>
    <s v="2022_HPCDP_66827_1"/>
    <x v="0"/>
    <d v="2022-12-29T00:00:00"/>
    <x v="3"/>
    <n v="148"/>
    <s v="No"/>
    <s v="HP _x000a_Procurement_x000a_ Portal"/>
    <m/>
  </r>
  <r>
    <n v="38"/>
    <s v="2023_HBC_252437_1"/>
    <x v="4"/>
    <d v="2023-01-06T00:00:00"/>
    <x v="4"/>
    <n v="140"/>
    <s v="No"/>
    <s v="Haryana Procurement Portal"/>
    <s v="HARTRON"/>
  </r>
  <r>
    <n v="39"/>
    <s v="2023_HRY_255221_1"/>
    <x v="0"/>
    <d v="2023-01-25T00:00:00"/>
    <x v="4"/>
    <n v="121"/>
    <s v="No"/>
    <s v="Haryana Procurement Portal"/>
    <s v="HIMS"/>
  </r>
  <r>
    <n v="40"/>
    <s v="GEM/2023/B/3013925"/>
    <x v="0"/>
    <d v="2023-01-25T00:00:00"/>
    <x v="4"/>
    <n v="121"/>
    <s v="No"/>
    <s v="Tender Tiger"/>
    <s v="IIFCL"/>
  </r>
  <r>
    <n v="41"/>
    <s v="2023_DHS_250459_1"/>
    <x v="0"/>
    <d v="2023-02-07T00:00:00"/>
    <x v="5"/>
    <n v="108"/>
    <s v="No"/>
    <s v="MP Procurement Portal"/>
    <s v="ANMOL Portal"/>
  </r>
  <r>
    <n v="42"/>
    <s v="2023_SCDR_869932_1"/>
    <x v="0"/>
    <d v="2023-02-09T00:00:00"/>
    <x v="5"/>
    <n v="106"/>
    <s v="No"/>
    <s v="Tender Tiger"/>
    <s v="SCDLR"/>
  </r>
  <r>
    <n v="43"/>
    <s v="2023_UPPCL_773247_1"/>
    <x v="0"/>
    <d v="2023-02-15T00:00:00"/>
    <x v="5"/>
    <n v="100"/>
    <s v="No"/>
    <s v="UP Procurement Portal"/>
    <s v="UPPCL"/>
  </r>
  <r>
    <n v="44"/>
    <s v="GEM/2023/B/3062782"/>
    <x v="0"/>
    <d v="2023-02-20T00:00:00"/>
    <x v="5"/>
    <n v="95"/>
    <s v="No"/>
    <s v="Tender Tiger"/>
    <s v="FTII"/>
  </r>
  <r>
    <n v="45"/>
    <s v="2023_LIC_698307_1"/>
    <x v="0"/>
    <d v="2023-02-27T00:00:00"/>
    <x v="5"/>
    <n v="88"/>
    <s v="No"/>
    <s v="Tender Tiger"/>
    <s v="LIC"/>
  </r>
  <r>
    <n v="46"/>
    <s v="2023_GR_98102_1"/>
    <x v="2"/>
    <d v="2023-03-06T00:00:00"/>
    <x v="6"/>
    <n v="81"/>
    <s v="No"/>
    <s v="Punjab Portal"/>
    <s v="eGovernance"/>
  </r>
  <r>
    <n v="49"/>
    <s v="GEM/2023/B/3236634"/>
    <x v="0"/>
    <d v="2023-03-10T00:00:00"/>
    <x v="6"/>
    <n v="77"/>
    <s v="No"/>
    <s v="Tender Tiger"/>
    <s v="HRMS"/>
  </r>
  <r>
    <n v="50"/>
    <s v="2023_IAAD_702822_1"/>
    <x v="0"/>
    <d v="2023-03-13T00:00:00"/>
    <x v="6"/>
    <n v="74"/>
    <s v="No"/>
    <s v="Tender Tiger"/>
    <s v="ODMS"/>
  </r>
  <r>
    <n v="51"/>
    <s v="2023_RISL_325885_1"/>
    <x v="0"/>
    <d v="2023-03-28T00:00:00"/>
    <x v="6"/>
    <n v="59"/>
    <s v="No"/>
    <s v="Rajasthan Procurement"/>
    <s v="RISL"/>
  </r>
  <r>
    <n v="52"/>
    <s v="GEM/2023/B/3296489"/>
    <x v="0"/>
    <d v="2023-04-08T00:00:00"/>
    <x v="7"/>
    <n v="14"/>
    <s v="Yes"/>
    <s v="Tender Tiger"/>
    <s v="ICMR"/>
  </r>
  <r>
    <n v="53"/>
    <s v="GEM/2023/B/3368435"/>
    <x v="0"/>
    <d v="2023-04-24T00:00:00"/>
    <x v="7"/>
    <n v="16"/>
    <s v="Yes"/>
    <s v="Tender Tiger"/>
    <s v="MEFCC"/>
  </r>
  <r>
    <n v="54"/>
    <s v="2023_HBC_281046_1"/>
    <x v="5"/>
    <d v="2023-05-15T00:00:00"/>
    <x v="8"/>
    <n v="15"/>
    <s v="Yes"/>
    <s v="Haryana Procurement Portal"/>
    <s v="MICADA"/>
  </r>
  <r>
    <m/>
    <m/>
    <x v="6"/>
    <m/>
    <x v="9"/>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
  <r>
    <x v="0"/>
    <x v="0"/>
  </r>
  <r>
    <x v="1"/>
    <x v="0"/>
  </r>
  <r>
    <x v="2"/>
    <x v="0"/>
  </r>
  <r>
    <x v="3"/>
    <x v="0"/>
  </r>
  <r>
    <x v="4"/>
    <x v="0"/>
  </r>
  <r>
    <x v="5"/>
    <x v="0"/>
  </r>
  <r>
    <x v="6"/>
    <x v="1"/>
  </r>
  <r>
    <x v="7"/>
    <x v="1"/>
  </r>
  <r>
    <x v="8"/>
    <x v="0"/>
  </r>
  <r>
    <x v="9"/>
    <x v="0"/>
  </r>
  <r>
    <x v="10"/>
    <x v="0"/>
  </r>
  <r>
    <x v="11"/>
    <x v="0"/>
  </r>
  <r>
    <x v="12"/>
    <x v="0"/>
  </r>
  <r>
    <x v="13"/>
    <x v="1"/>
  </r>
  <r>
    <x v="14"/>
    <x v="0"/>
  </r>
  <r>
    <x v="15"/>
    <x v="1"/>
  </r>
  <r>
    <x v="16"/>
    <x v="0"/>
  </r>
  <r>
    <x v="17"/>
    <x v="0"/>
  </r>
  <r>
    <x v="18"/>
    <x v="1"/>
  </r>
  <r>
    <x v="19"/>
    <x v="0"/>
  </r>
  <r>
    <x v="20"/>
    <x v="0"/>
  </r>
  <r>
    <x v="21"/>
    <x v="0"/>
  </r>
  <r>
    <x v="22"/>
    <x v="0"/>
  </r>
  <r>
    <x v="23"/>
    <x v="1"/>
  </r>
  <r>
    <x v="24"/>
    <x v="0"/>
  </r>
  <r>
    <x v="25"/>
    <x v="0"/>
  </r>
  <r>
    <x v="26"/>
    <x v="1"/>
  </r>
  <r>
    <x v="27"/>
    <x v="0"/>
  </r>
  <r>
    <x v="28"/>
    <x v="0"/>
  </r>
  <r>
    <x v="29"/>
    <x v="0"/>
  </r>
  <r>
    <x v="30"/>
    <x v="0"/>
  </r>
  <r>
    <x v="31"/>
    <x v="0"/>
  </r>
  <r>
    <x v="32"/>
    <x v="0"/>
  </r>
  <r>
    <x v="33"/>
    <x v="2"/>
  </r>
  <r>
    <x v="33"/>
    <x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
  <r>
    <x v="0"/>
    <x v="0"/>
  </r>
  <r>
    <x v="1"/>
    <x v="0"/>
  </r>
  <r>
    <x v="2"/>
    <x v="0"/>
  </r>
  <r>
    <x v="3"/>
    <x v="0"/>
  </r>
  <r>
    <x v="4"/>
    <x v="0"/>
  </r>
  <r>
    <x v="5"/>
    <x v="0"/>
  </r>
  <r>
    <x v="6"/>
    <x v="1"/>
  </r>
  <r>
    <x v="7"/>
    <x v="1"/>
  </r>
  <r>
    <x v="8"/>
    <x v="0"/>
  </r>
  <r>
    <x v="9"/>
    <x v="0"/>
  </r>
  <r>
    <x v="10"/>
    <x v="0"/>
  </r>
  <r>
    <x v="11"/>
    <x v="0"/>
  </r>
  <r>
    <x v="12"/>
    <x v="0"/>
  </r>
  <r>
    <x v="13"/>
    <x v="1"/>
  </r>
  <r>
    <x v="14"/>
    <x v="0"/>
  </r>
  <r>
    <x v="15"/>
    <x v="1"/>
  </r>
  <r>
    <x v="16"/>
    <x v="0"/>
  </r>
  <r>
    <x v="17"/>
    <x v="0"/>
  </r>
  <r>
    <x v="18"/>
    <x v="1"/>
  </r>
  <r>
    <x v="19"/>
    <x v="0"/>
  </r>
  <r>
    <x v="20"/>
    <x v="0"/>
  </r>
  <r>
    <x v="21"/>
    <x v="0"/>
  </r>
  <r>
    <x v="22"/>
    <x v="0"/>
  </r>
  <r>
    <x v="23"/>
    <x v="1"/>
  </r>
  <r>
    <x v="24"/>
    <x v="0"/>
  </r>
  <r>
    <x v="25"/>
    <x v="0"/>
  </r>
  <r>
    <x v="26"/>
    <x v="1"/>
  </r>
  <r>
    <x v="27"/>
    <x v="0"/>
  </r>
  <r>
    <x v="28"/>
    <x v="0"/>
  </r>
  <r>
    <x v="29"/>
    <x v="0"/>
  </r>
  <r>
    <x v="30"/>
    <x v="0"/>
  </r>
  <r>
    <x v="31"/>
    <x v="0"/>
  </r>
  <r>
    <x v="32"/>
    <x v="0"/>
  </r>
  <r>
    <x v="33"/>
    <x v="2"/>
  </r>
  <r>
    <x v="33"/>
    <x v="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
  <r>
    <x v="0"/>
    <x v="0"/>
  </r>
  <r>
    <x v="0"/>
    <x v="1"/>
  </r>
  <r>
    <x v="0"/>
    <x v="1"/>
  </r>
  <r>
    <x v="1"/>
    <x v="1"/>
  </r>
  <r>
    <x v="2"/>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1"/>
  </r>
  <r>
    <x v="3"/>
    <x v="2"/>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
  <r>
    <n v="1"/>
    <m/>
    <x v="0"/>
    <x v="0"/>
    <s v="Sep/22"/>
    <n v="256"/>
    <s v="No"/>
    <x v="0"/>
    <m/>
    <s v="Punjab National Bank"/>
    <d v="2022-10-07T00:00:00"/>
    <n v="-231"/>
    <s v="Not pursued"/>
    <m/>
    <s v="Closing date &lt;15 days, not feasible to continue."/>
    <x v="0"/>
    <s v="3 years of experience required in same/similar banking domain. Not having 'Finacle 10' experience of banking domain, Do not cater infrastructure, hardware administration and maintainence._x000a_The bidder needs to consider, envisage and provide all deliverables, activities_x000a_and services that would be required for overall management, smooth_x000a_operations, support, troubleshooting, maintenance and administration of entire_x000a_Infrastructure and Core Banking Solution ‘Finacle 10’ and its associated_x000a_applications for PNB, its sponsored RRBs, its Overseas entities at DC, DR,_x000a_Near DR and any other site of the Bank on 24 x 7 x 365 basis. In addition,_x000a_bidder will be required to provide troubleshooting and support for smooth_x000a_functioning of digital Banking Channels an"/>
    <s v="Not feasible"/>
    <m/>
    <s v="https://geminisolutionsindpvtltd-my.sharepoint.com/:b:/g/personal/aman_kbansal_geminisolutions_com/EZfssG35Eh5KmYYVxbqpCMoBXmfeHVZSprvbjC7_hIC-FQ?e=xFa1te"/>
  </r>
  <r>
    <n v="2"/>
    <m/>
    <x v="0"/>
    <x v="0"/>
    <s v="Sep/22"/>
    <n v="256"/>
    <s v="No"/>
    <x v="0"/>
    <m/>
    <s v="Indian Institute Of Technology"/>
    <d v="2022-10-06T00:00:00"/>
    <n v="-232"/>
    <s v="Not pursued"/>
    <m/>
    <s v="Closing date &lt;15 days, not feasible to continue."/>
    <x v="1"/>
    <s v="The scope of the work will include1.Detailed design and site preparation of the Data Centre involving civil, electrical, and mechanical work including dismantling, false ceiling, raised flooring, moisture sealing, fortification of windows and all other necessary components.2.Supply, installation and commissioning of basic infrastructure, UPS, air conditioning, fire prevention and detection systems, lighting, access control and surveillance systems, rodent control system, BMS and Data Centre integrated management system (DCIM) and internal and external illumination. 3.Supply, installation and commissioning ofracks with RDHxand iPDUs4.On-site maintenance of the Data Centre for at least 5 years5.On-site operations and support by qualified engineers on a 24 × 365 basis for at least 5 years to ensure at least 99.98% service availability."/>
    <s v="Not feasible"/>
    <m/>
    <s v="https://geminisolutionsindpvtltd-my.sharepoint.com/:w:/g/personal/aman_kbansal_geminisolutions_com/EQS60yGoHgdGro1hJ6Dw0PQBK3GNx3BWZCTBrMNMCG66jg?e=RNgi7g"/>
  </r>
  <r>
    <n v="3"/>
    <m/>
    <x v="0"/>
    <x v="0"/>
    <s v="Sep/22"/>
    <n v="256"/>
    <s v="No"/>
    <x v="0"/>
    <m/>
    <s v="Madhusudan Law University"/>
    <d v="2022-10-10T00:00:00"/>
    <n v="-228"/>
    <s v="Not pursued"/>
    <m/>
    <s v="Closing date &lt;15 days, not feasible to continue."/>
    <x v="2"/>
    <s v="Must have worked in PSU/Odisha state govt. projects"/>
    <s v="NA"/>
    <m/>
    <s v="https://geminisolutionsindpvtltd-my.sharepoint.com/:w:/g/personal/aman_kbansal_geminisolutions_com/EeIWkOnw-95HoHZG3Q1Us6IB5FBHI6J1RzWb0-UCEqnyMw?e=bgOI7T"/>
  </r>
  <r>
    <n v="4"/>
    <m/>
    <x v="0"/>
    <x v="0"/>
    <s v="Sep/22"/>
    <n v="256"/>
    <s v="No"/>
    <x v="0"/>
    <m/>
    <s v="PSB Alliance Private Limited"/>
    <d v="2022-09-30T00:00:00"/>
    <n v="-238"/>
    <s v="Do not qualify"/>
    <m/>
    <s v="Do not qualify"/>
    <x v="3"/>
    <s v="The  Bidder  should  have  provided  consultancy  for vendor selection for procurement of IT infrastructure and   applications   including   project   management, implementation    and    support    in    at    least    one Scheduled  Commercial  Bank in  India  with  1500+ branches.*Ongoingengagements will be considered_x000a__x000a_The     bidder     should     be CERT-IN     empaneled organization"/>
    <s v="NA"/>
    <m/>
    <s v="https://geminisolutionsindpvtltd-my.sharepoint.com/:b:/g/personal/aman_kbansal_geminisolutions_com/EZZkShRFnOhPi0GQV05x8AcBEpsq9BWCMHko0oX3KZDp7w?e=ODOD1U"/>
  </r>
  <r>
    <n v="5"/>
    <m/>
    <x v="0"/>
    <x v="0"/>
    <s v="Sep/22"/>
    <n v="256"/>
    <s v="No"/>
    <x v="0"/>
    <m/>
    <s v="Securities And Exchange Board Of India"/>
    <d v="2022-10-03T00:00:00"/>
    <n v="-235"/>
    <s v="Do not qualify"/>
    <m/>
    <s v="Do not qualify"/>
    <x v="4"/>
    <s v="a. The bidder should have_x000a_authorization from the OEM to_x000a_supply, install and support the_x000a_proposed Web Intelligence_x000a_Tool._x000a_b. Proposed Web Intelligence_x000a_Tool should be in use (live) by_x000a_at least 10 national or_x000a_international entities as on_x000a_date of EOI."/>
    <s v="NA"/>
    <m/>
    <s v="https://geminisolutionsindpvtltd-my.sharepoint.com/:i:/g/personal/aman_kbansal_geminisolutions_com/EX-8NFPzxCpBlFuWT7DAHHcBNL_adAlkw5h5Wh1N24fN1A?e=T65or0"/>
  </r>
  <r>
    <n v="6"/>
    <m/>
    <x v="0"/>
    <x v="1"/>
    <s v="Sep/22"/>
    <n v="240"/>
    <s v="No"/>
    <x v="0"/>
    <m/>
    <s v="Securities And Exchange Board Of India"/>
    <d v="2022-10-03T00:00:00"/>
    <n v="-235"/>
    <s v="Not pursued"/>
    <m/>
    <s v="Closing date &lt;15 days, not feasible to continue."/>
    <x v="5"/>
    <s v="1. OEM authorized to supply, install and support the proposed Web Intelligence Tool. This tool should be in use by at least 10 national or international entities as on date of EOI._x000a_2. Experience in implementing, installing and maintaining tools (such as AI based tools, digital forensic tools, visualisation tools etc.) over the last seven years_x000a_"/>
    <s v="Not feasible"/>
    <m/>
    <s v="https://geminisolutionsindpvtltd-my.sharepoint.com/:i:/g/personal/aman_kbansal_geminisolutions_com/EX-8NFPzxCpBlFuWT7DAHHcBNL_adAlkw5h5Wh1N24fN1A?e=T65or0"/>
  </r>
  <r>
    <n v="7"/>
    <m/>
    <x v="0"/>
    <x v="1"/>
    <s v="Sep/22"/>
    <n v="240"/>
    <s v="No"/>
    <x v="0"/>
    <m/>
    <s v="Institute Of Microbial Technology"/>
    <d v="2022-10-05T00:00:00"/>
    <n v="-233"/>
    <s v="Not pursued"/>
    <m/>
    <s v="Closing date &lt;15 days, not feasible to continue."/>
    <x v="5"/>
    <s v="1. The bidder should have ISO 9001 and CMM3_x000a_    or higher certifications._x000a_2. The bidder shall submit the PO/work_x000a_    completion certificates, of earlier websites_x000a_    developed by them for CPSUs/ Central_x000a_    Government/State Government/Public Sector_x000a_    organizations/Autonomous Bodies/ Statutory _x000a_    Bodies/University. _x000a_"/>
    <s v="Not feasible"/>
    <m/>
    <s v="https://geminisolutionsindpvtltd-my.sharepoint.com/:i:/g/personal/aman_kbansal_geminisolutions_com/EfgA8hC9_UlGqUDpYs3pxlsB-j7ebk59FylzLlvhb20_1g?e=sZFXqq"/>
  </r>
  <r>
    <n v="8"/>
    <m/>
    <x v="0"/>
    <x v="1"/>
    <s v="Sep/22"/>
    <n v="240"/>
    <s v="No"/>
    <x v="0"/>
    <m/>
    <s v="Maharaja Agrasen Medical College"/>
    <d v="2022-10-15T00:00:00"/>
    <n v="-223"/>
    <s v="Not pursued"/>
    <m/>
    <s v="Closing date &lt;15 days, not feasible to continue."/>
    <x v="6"/>
    <m/>
    <m/>
    <m/>
    <s v="https://geminisolutionsindpvtltd-my.sharepoint.com/:i:/g/personal/aman_kbansal_geminisolutions_com/EXtzHvpFwEBCm0-wdKMLFu8Bwnp9lrmWnndoIYcjqxb0fQ?e=ApTh5s"/>
  </r>
  <r>
    <n v="9"/>
    <m/>
    <x v="0"/>
    <x v="1"/>
    <s v="Sep/22"/>
    <n v="240"/>
    <s v="No"/>
    <x v="0"/>
    <m/>
    <s v="Jorhat Medical College and Hospital-HFWD"/>
    <d v="2022-10-10T00:00:00"/>
    <n v="-228"/>
    <s v="Not pursued"/>
    <m/>
    <s v="Do not qualify"/>
    <x v="5"/>
    <s v="1. Experience in supply and installation of UTMs with equivalent or higher of quoted value of the quoted item by a single order in Govt. Dept/PSU/Autonomous Bodies/University in last three years as on date._x000a_2. Experience in supply and installation of (Unified Threat Management)UTMs with equivalent or higher of quoted value of the quoted item by a single order in Govt. Dept/PSU/Autonomous Bodies/University in last three years as on date._x000a_3. Bidder must have a registered office with service centre in Northeast._x000a_"/>
    <s v="Not feasible"/>
    <m/>
    <s v="https://geminisolutionsindpvtltd-my.sharepoint.com/:u:/g/personal/aman_kbansal_geminisolutions_com/EeZFpuOZtBlAnn5vd402WesBRMtVz3JuVw7PFQQ_wo0uPQ?e=Do5LIG"/>
  </r>
  <r>
    <n v="10"/>
    <m/>
    <x v="0"/>
    <x v="2"/>
    <s v="Oct/22"/>
    <n v="228"/>
    <s v="No"/>
    <x v="0"/>
    <m/>
    <s v="MHA"/>
    <d v="2022-10-29T00:00:00"/>
    <n v="-209"/>
    <s v="Not pursued"/>
    <m/>
    <s v="Closing date &lt;15 days, not feasible to continue."/>
    <x v="5"/>
    <m/>
    <m/>
    <m/>
    <s v="https://www.tendertiger.com/viewtenderdetailnd.aspx?sbno=248321&amp;sbencp=2da274524314dc13d&amp;SrN=55954959&amp;encp=f5ab381029563460a&amp;fav=1&amp;MailTrackId=25839963&amp;MailTrackEncp=48c8ed688c85890ee"/>
  </r>
  <r>
    <n v="11"/>
    <m/>
    <x v="0"/>
    <x v="2"/>
    <s v="Oct/22"/>
    <n v="228"/>
    <s v="No"/>
    <x v="0"/>
    <m/>
    <s v="Ministry of Defence - Website Application Security Platform Software"/>
    <d v="2022-10-27T00:00:00"/>
    <n v="-211"/>
    <s v="Not pursued"/>
    <m/>
    <s v="Closing date &lt;15 days, not feasible to continue."/>
    <x v="5"/>
    <m/>
    <m/>
    <m/>
    <s v="https://www.tendertiger.com/viewtenderdetailnd.aspx?sbno=248321&amp;sbencp=2da274524314dc13d&amp;SrN=55954182&amp;encp=d315f910878c91096&amp;fav=1&amp;MailTrackId=25839963&amp;MailTrackEncp=48c8ed688c85890ee"/>
  </r>
  <r>
    <n v="12"/>
    <m/>
    <x v="0"/>
    <x v="2"/>
    <s v="Oct/22"/>
    <n v="228"/>
    <s v="No"/>
    <x v="0"/>
    <m/>
    <s v="BHU"/>
    <d v="2022-10-31T00:00:00"/>
    <n v="-207"/>
    <s v="Not pursued"/>
    <m/>
    <s v="Closing date &lt;15 days, not feasible to continue."/>
    <x v="7"/>
    <m/>
    <m/>
    <m/>
    <s v="https://www.tendertiger.com/viewtenderdetailnd.aspx?sbno=248321&amp;sbencp=2da274524314dc13d&amp;SrN=55953624&amp;encp=009e8243291a7539b&amp;fav=1&amp;MailTrackId=25839963&amp;MailTrackEncp=48c8ed688c85890ee"/>
  </r>
  <r>
    <n v="13"/>
    <m/>
    <x v="0"/>
    <x v="3"/>
    <s v="Oct/22"/>
    <n v="233"/>
    <s v="No"/>
    <x v="0"/>
    <m/>
    <s v="OIL India LIMITED"/>
    <d v="2022-10-27T00:00:00"/>
    <n v="-211"/>
    <s v="Not pursued"/>
    <m/>
    <s v="Closing date &lt;15 days, not feasible to continue."/>
    <x v="5"/>
    <m/>
    <m/>
    <s v="Hiring services for design development hosting and maintenance of a webbased application system of 3tier architecture for online collection of application forms with a registration mechanism and provision for generation of v .. Qty -"/>
    <s v="https://www.tendertiger.com/viewtenderdetailnd.aspx?sbno=248321&amp;sbencp=2da274524314dc13d&amp;SrN=55952751&amp;encp=1866c180902333f79&amp;fav=1&amp;MailTrackId=25839963&amp;MailTrackEncp=48c8ed688c85890ee"/>
  </r>
  <r>
    <n v="14"/>
    <m/>
    <x v="0"/>
    <x v="3"/>
    <s v="Oct/22"/>
    <n v="233"/>
    <s v="No"/>
    <x v="0"/>
    <m/>
    <s v="Hindustan Petroleum Corporation Limited"/>
    <d v="2022-10-31T00:00:00"/>
    <n v="-207"/>
    <s v="Not pursued"/>
    <m/>
    <s v="Closing date &lt;15 days, not feasible to continue."/>
    <x v="8"/>
    <m/>
    <m/>
    <s v="Providing of bharat bill payment (bbps) and credit facilities (bnpl) on mobile payment app (hp pay)."/>
    <s v="https://tenders.hpcl.co.in/tenders/tender_prog/Tenders_details.asp?id=113338"/>
  </r>
  <r>
    <n v="15"/>
    <m/>
    <x v="0"/>
    <x v="3"/>
    <s v="Oct/22"/>
    <n v="233"/>
    <s v="No"/>
    <x v="0"/>
    <m/>
    <s v="Rajcomp "/>
    <d v="2022-11-09T00:00:00"/>
    <n v="-198"/>
    <s v="Not pursued"/>
    <m/>
    <s v="Closing date &lt;15 days, not feasible to continue."/>
    <x v="5"/>
    <m/>
    <m/>
    <s v=" Rfp for selection of technology partner for rajasthan integrated tax management system"/>
    <s v="https://www.tendertiger.com/viewtenderdetailnd.aspx?sbno=248321&amp;sbencp=2da274524314dc13d&amp;SrN=55276770&amp;encp=4bf6136af6f17476b&amp;fav=1&amp;MailTrackId=25822499&amp;MailTrackEncp=4ea480c819eda4aba"/>
  </r>
  <r>
    <n v="16"/>
    <m/>
    <x v="0"/>
    <x v="4"/>
    <s v="Oct/22"/>
    <n v="227"/>
    <s v="No"/>
    <x v="0"/>
    <m/>
    <s v=" Rajcomp"/>
    <d v="2022-11-18T00:00:00"/>
    <n v="-189"/>
    <s v="Not pursued"/>
    <m/>
    <s v="Closing date &lt;15 days, not feasible to continue."/>
    <x v="9"/>
    <s v="Rajcomp-Rfp for ai and ml based voicebot and chatbot platform and its integration with rajasthan government citizen centric software applications."/>
    <m/>
    <m/>
    <s v="https://www.tendertiger.com/viewtenderdetailnd.aspx?sbno=248321&amp;sbencp=2da274524314dc13d&amp;SrN=55952958&amp;encp=2959155bca0ad4b02&amp;fav=1&amp;MailTrackId=25839963&amp;MailTrackEncp=48c8ed688c85890ee"/>
  </r>
  <r>
    <n v="17"/>
    <m/>
    <x v="0"/>
    <x v="4"/>
    <s v="Oct/22"/>
    <n v="227"/>
    <s v="No"/>
    <x v="0"/>
    <m/>
    <s v="Institute For Plasma Research"/>
    <d v="2022-11-30T00:00:00"/>
    <n v="-177"/>
    <s v="Do not qualify"/>
    <m/>
    <s v="Do not qualify"/>
    <x v="10"/>
    <s v="Supply of programmable logic controller, programming software along with required accessories at institute for plasma research, gandhinagar"/>
    <m/>
    <m/>
    <s v="https://www.tendertiger.com/viewtenderdetailnd.aspx?sbno=248321&amp;sbencp=2da274524314dc13d&amp;SrN=56155420&amp;encp=062e73a033caacf10&amp;fav=1&amp;MailTrackId=25927714&amp;MailTrackEncp=e7d4433e65231711f"/>
  </r>
  <r>
    <n v="18"/>
    <m/>
    <x v="0"/>
    <x v="5"/>
    <s v="Oct/22"/>
    <n v="218"/>
    <s v="No"/>
    <x v="0"/>
    <m/>
    <s v="IIM-Raipur"/>
    <d v="2022-11-28T00:00:00"/>
    <n v="-179"/>
    <s v="Do not qualify"/>
    <m/>
    <s v="Do not qualify"/>
    <x v="11"/>
    <s v="_x0009_Redesigning, development and software maintenance service of iim raipur website"/>
    <s v="Companies Act._x000a_ii. Avg. Annual Turn Over of firm for the last three FYs should be Rs.25 lakhs or more._x000a_iii. The bidder must be registered under GST Registration._x000a_iv. Undertaking on letter head as per Annexure “C”._x000a_v. Tender Fee of Rs.590/- and EMD of Rs. 18,000/- in form of Demand Draft in Favor of_x000a_Indian Institute of Management Raipur payable at Raipur_x000a_vi. Compliance to min. required technical details / Specification in Scope of Work Technical_x000a_Bid /Scope of Work as “Annexure-A”._x000a_vii. The bidder must have experience for providing similar web development services to_x000a_IIM/IIT with successful completion report / performance certificate._x000a_viii.The bidder must have minimum ISO 9001, ISO 27001 and ISO 20001 certificate._x000a_ix. The bidder must have minimum CMMI-3 (Capability Maturity Model Integration) level of_x000a_certification._x000a_As per Govt. of India notification relaxation may be given to MSME / NSIC_x000a_service provider (Original service provider/ manufacturer/ OEM etc.) in_x000a_experience and turn over criteria, not applicable for trader."/>
    <m/>
    <s v="https://www.tendertiger.com/viewtenderdetailnd.aspx?sbno=248321&amp;sbencp=2da274524314dc13d&amp;SrN=56573447&amp;encp=445ffe4d0745cd8ec&amp;fav=1&amp;MailTrackId=26118337&amp;MailTrackEncp=5c64974494b49f7b6"/>
  </r>
  <r>
    <n v="19"/>
    <m/>
    <x v="0"/>
    <x v="5"/>
    <s v="Oct/22"/>
    <n v="218"/>
    <s v="No"/>
    <x v="0"/>
    <m/>
    <s v="Dept. of Land Records"/>
    <d v="2022-11-22T00:00:00"/>
    <n v="-185"/>
    <s v="Do not qualify"/>
    <m/>
    <s v="Do not qualify"/>
    <x v="11"/>
    <s v="Dev of api portal &amp; allied services"/>
    <m/>
    <m/>
    <m/>
  </r>
  <r>
    <n v="19"/>
    <m/>
    <x v="0"/>
    <x v="6"/>
    <s v="Nov/22"/>
    <n v="202"/>
    <s v="No"/>
    <x v="0"/>
    <m/>
    <s v="_x000a_Information And Public Relation Department"/>
    <d v="2022-11-29T00:00:00"/>
    <n v="-178"/>
    <s v="Do not qualify"/>
    <m/>
    <s v="Do not qualify"/>
    <x v="11"/>
    <s v="Selection of Software development agency for maintenance &amp; up-gradation of e-advertisement IT solution for information &amp; public relation department ."/>
    <m/>
    <s v="The Bidder Should have experienced of at least 2 Turn key projects of 2Cr each IT projects (Involving_x000a_Datacenter /Server Hardware Installation, Software Development &amp; Maintenance etc.) for_x000a_Government/PSU in the last 5 years._x000a_G. Experience in Application Development: The Bidder should have experienced of two ICT/e-Governance_x000a_projects for Government/PSU (Involving Application Software Development Customization,_x000a_implementation, Software Maintenance etc.) with a project value of Rs. 2 crore or above. in the last 5 years."/>
    <s v="https://www.tendertiger.com/viewtenderdetailnd.aspx?sbno=248321&amp;sbencp=2da274524314dc13d&amp;SrN=56710270&amp;encp=e8e9c759283ddb6e5&amp;fav=1&amp;MailTrackId=26187163&amp;MailTrackEncp=61cde681ebacc0cbb"/>
  </r>
  <r>
    <n v="20"/>
    <m/>
    <x v="0"/>
    <x v="7"/>
    <s v="Nov/22"/>
    <n v="195"/>
    <s v="No"/>
    <x v="0"/>
    <m/>
    <s v="Department Of Police-Kerala- Develop, revamp website"/>
    <d v="2022-12-06T00:00:00"/>
    <n v="-171"/>
    <s v="Do not qualify"/>
    <m/>
    <s v="Do not qualify"/>
    <x v="12"/>
    <s v="Asked for waiver for experience, contact person mentioned that we will consider you if no other company is having this experience."/>
    <m/>
    <m/>
    <s v="https://www.tendertiger.com/viewtenderdetailnd.aspx?sbno=248321&amp;sbencp=2da274524314dc13d&amp;SrN=56906707&amp;encp=11c64ed2802d22c2c&amp;fav=1&amp;MailTrackId=26273072&amp;MailTrackEncp=158ff811ee2d25553"/>
  </r>
  <r>
    <n v="21"/>
    <s v="2022_EPIL_686724_1"/>
    <x v="1"/>
    <x v="8"/>
    <s v="Nov/22"/>
    <n v="189"/>
    <s v="No"/>
    <x v="0"/>
    <s v="EPI"/>
    <s v="Engineering Projects (India) Limited"/>
    <d v="2022-12-09T00:00:00"/>
    <n v="-168"/>
    <s v="Query responded"/>
    <m/>
    <s v="Filed"/>
    <x v="13"/>
    <m/>
    <m/>
    <m/>
    <s v="https://www.tendertiger.com/viewtenderdetailnd.aspx?sbno=248321&amp;sbencp=2da274524314dc13d&amp;SrN=57107731&amp;encp=91966f19079f0bf0d&amp;fav=1&amp;MailTrackId=26376266&amp;MailTrackEncp=a513fcdfac692e59d"/>
  </r>
  <r>
    <n v="22"/>
    <m/>
    <x v="0"/>
    <x v="8"/>
    <s v="Nov/22"/>
    <n v="189"/>
    <s v="No"/>
    <x v="0"/>
    <m/>
    <s v="Metro rail corporation"/>
    <d v="2022-12-30T00:00:00"/>
    <n v="-147"/>
    <s v="Not pursued"/>
    <m/>
    <s v="Evidence not provided-Deadline cannot be met"/>
    <x v="6"/>
    <s v="Modification  and Upgradation  of  existing  Oracle  ERP Application &amp; Databaseon Oracle Cloud Infrastructure including Support &amp; Defect Liability Period(DLP) for Mumbai Metro Line 3 at MMRCL."/>
    <m/>
    <m/>
    <m/>
  </r>
  <r>
    <n v="23"/>
    <s v="2022_GR_92674_1"/>
    <x v="2"/>
    <x v="9"/>
    <s v="Nov/22"/>
    <n v="183"/>
    <s v="No"/>
    <x v="0"/>
    <s v="DGR"/>
    <s v="Anti corruption Action line-PUNJAB"/>
    <d v="2022-12-16T00:00:00"/>
    <n v="-161"/>
    <s v="Pre qualification qualified, further rounds results awaited"/>
    <m/>
    <s v="Filed"/>
    <x v="13"/>
    <s v="Software implementation and whatsapp chatbot"/>
    <m/>
    <m/>
    <s v="https://www.tendertiger.com/viewtenderdetailnd.aspx?sbno=248321&amp;sbencp=2da274524314dc13d&amp;SrN=57190438&amp;encp=8525e01667c0f5df0&amp;fav=1&amp;MailTrackId=26411158&amp;MailTrackEncp=ba181ef4e8c4c00f7"/>
  </r>
  <r>
    <n v="24"/>
    <m/>
    <x v="0"/>
    <x v="9"/>
    <s v="Nov/22"/>
    <n v="183"/>
    <s v="No"/>
    <x v="0"/>
    <m/>
    <s v="UCO bank-Kolkata"/>
    <d v="2022-12-22T00:00:00"/>
    <n v="-155"/>
    <s v="Do not qualify"/>
    <m/>
    <s v="Do not qualify"/>
    <x v="2"/>
    <s v="To Supply, Implement and Maintain of Digital Customer On-boarding with CRM Solution to provide 360-degree view as per the Terms &amp; Conditions"/>
    <m/>
    <m/>
    <s v="https://www.tendertiger.com/viewtenderdetailnd.aspx?sbno=248321&amp;sbencp=2da274524314dc13d&amp;SrN=57250461&amp;encp=b5b4aad0d4eb61e21&amp;fav=1&amp;MailTrackId=26428326&amp;MailTrackEncp=4e371612d43d8a76d"/>
  </r>
  <r>
    <n v="25"/>
    <m/>
    <x v="0"/>
    <x v="9"/>
    <s v="Nov/22"/>
    <n v="183"/>
    <s v="No"/>
    <x v="0"/>
    <m/>
    <s v="TENDER FOR DIGITALIZATION OF THE INDIAN_x000a_PHARMACOPOEIA"/>
    <d v="2022-12-13T00:00:00"/>
    <n v="-164"/>
    <s v="Do not qualify"/>
    <m/>
    <s v="Do not qualify"/>
    <x v="11"/>
    <m/>
    <m/>
    <m/>
    <m/>
  </r>
  <r>
    <n v="26"/>
    <m/>
    <x v="0"/>
    <x v="9"/>
    <s v="Nov/22"/>
    <n v="183"/>
    <s v="No"/>
    <x v="1"/>
    <m/>
    <s v="HRMS2 Directorate, Finance Department"/>
    <d v="2022-11-14T00:00:00"/>
    <n v="-193"/>
    <s v="Do not qualify"/>
    <m/>
    <s v="Closing date &lt;15 days, not feasible to continue."/>
    <x v="6"/>
    <m/>
    <m/>
    <m/>
    <m/>
  </r>
  <r>
    <n v="32"/>
    <m/>
    <x v="0"/>
    <x v="10"/>
    <s v="Dec/22"/>
    <n v="172"/>
    <s v="No"/>
    <x v="2"/>
    <m/>
    <s v="GeM Data Management and Analytics System (DMAS)"/>
    <d v="2022-12-28T00:00:00"/>
    <n v="-149"/>
    <s v="Do not qualify"/>
    <m/>
    <s v="Do not qualify"/>
    <x v="5"/>
    <m/>
    <m/>
    <s v="&gt;Minimum Average Annual Turnover for 3 years &gt;10 Cr_x000a_&gt;Minimum of 5 years of development experience in using various Relational and Non-relational DBMS_x000a_&gt;Experience on working and development of products for Linux (RHEL) OS._x000a_&gt;Proficiency in exploitation of various inbuilt tools of Big Data Analytics and Machine Learning._x000a_&gt;Experience in architecting, design &amp; development of large scale DBMS._x000a_&gt;Integration of DBMS with GUI with back-end processing modules in a distributed System._x000a_&gt;Expertise in Database testing and credibility for successful acceptance of DBMS._x000a_&gt;Compliance with Information Security Standard ISO 27001."/>
    <s v="BID NO: GEM/2022/B/2828174"/>
  </r>
  <r>
    <n v="33"/>
    <s v="2022_DTE_93410_1"/>
    <x v="3"/>
    <x v="11"/>
    <s v="Dec/22"/>
    <n v="167"/>
    <s v="No"/>
    <x v="3"/>
    <s v="Punjab skill"/>
    <s v="Deptt of Technical Education and Industrial training||Punjab Skill Development Mission"/>
    <d v="2023-01-06T00:00:00"/>
    <n v="-140"/>
    <s v="Filed"/>
    <s v="Yes"/>
    <s v="Filed"/>
    <x v="13"/>
    <m/>
    <m/>
    <m/>
    <m/>
  </r>
  <r>
    <n v="34"/>
    <m/>
    <x v="0"/>
    <x v="12"/>
    <s v="Dec/22"/>
    <n v="158"/>
    <s v="No"/>
    <x v="4"/>
    <m/>
    <s v="Directorate Urban Administration and Development||Muncipal Corporations - UAD||Muncipal Corporation-Indore - UAD"/>
    <d v="2023-01-17T00:00:00"/>
    <n v="-129"/>
    <s v="Do not qualify"/>
    <m/>
    <s v="Do not qualify"/>
    <x v="14"/>
    <m/>
    <m/>
    <s v="REDESIGNING, DEVELOPMENT &amp;_x000a_COMPREHENSIVE MAINTENANCE OF EXISTING_x000a_WEBSITE OF INDORE MUNICIPAL CORPORATION"/>
    <s v="https://mptenders.gov.in/nicgep/app?component=%24DirectLink&amp;page=FrontEndViewTender&amp;service=direct&amp;session=T&amp;sp=SI%2B2E8%2BqIeaLx10OYuaHtBg%3D%3D"/>
  </r>
  <r>
    <n v="35"/>
    <s v="_x0009_2022_FACT_731102_1"/>
    <x v="0"/>
    <x v="13"/>
    <s v="Dec/22"/>
    <n v="150"/>
    <s v="No"/>
    <x v="5"/>
    <m/>
    <s v="The Fertilisers And Chemicals Travancore Ltd.||Head Office - FACT||Corporate materials - FACT_x000a_"/>
    <d v="2023-01-14T00:00:00"/>
    <n v="-132"/>
    <s v="Not pursued"/>
    <s v="Yes"/>
    <s v="Closing date &lt;15 days, not feasible to continue."/>
    <x v="15"/>
    <m/>
    <m/>
    <s v="Mobile app development and maintenance for marketing department."/>
    <s v="https://eprocure.gov.in/eprocure/app?component=%24DirectLink&amp;page=FrontEndViewTender&amp;service=direct&amp;session=T&amp;sp=Skg4quIbxGHm3jB7g5Fc%2FMw%3D%3D"/>
  </r>
  <r>
    <n v="36"/>
    <s v="2022_PWPIU_239609_1"/>
    <x v="0"/>
    <x v="13"/>
    <s v="Dec/22"/>
    <n v="150"/>
    <s v="No"/>
    <x v="4"/>
    <m/>
    <s v="PWD-PIU||Bhopal APD PIU PWD||Bhopal DPE PIU PWD"/>
    <d v="2023-01-11T00:00:00"/>
    <n v="-135"/>
    <s v="Do not qualify"/>
    <m/>
    <s v="Do not qualify"/>
    <x v="14"/>
    <m/>
    <m/>
    <s v="Location in Bhopal"/>
    <s v="Link"/>
  </r>
  <r>
    <n v="37"/>
    <s v="2022_HPCDP_66827_1"/>
    <x v="0"/>
    <x v="14"/>
    <s v="Dec/22"/>
    <n v="148"/>
    <s v="No"/>
    <x v="6"/>
    <m/>
    <s v="Himachal Pradesh _x000a_Agriculture Development_x000a_ Society (JICA-ODA loan)"/>
    <d v="2023-01-09T00:00:00"/>
    <n v="-137"/>
    <s v="Not pursued"/>
    <m/>
    <s v="Do not qualify"/>
    <x v="16"/>
    <m/>
    <m/>
    <m/>
    <m/>
  </r>
  <r>
    <n v="38"/>
    <s v="2023_HBC_252437_1"/>
    <x v="4"/>
    <x v="15"/>
    <s v="Jan/23"/>
    <n v="140"/>
    <s v="No"/>
    <x v="7"/>
    <s v="HARTRON"/>
    <s v="Haryana Board Corporation||HARTRON"/>
    <d v="2023-02-28T00:00:00"/>
    <n v="-87"/>
    <s v="Filed"/>
    <m/>
    <s v="Filed"/>
    <x v="13"/>
    <m/>
    <m/>
    <m/>
    <s v="Link"/>
  </r>
  <r>
    <n v="39"/>
    <s v="2023_HRY_255221_1"/>
    <x v="0"/>
    <x v="16"/>
    <s v="Jan/23"/>
    <n v="121"/>
    <s v="No"/>
    <x v="7"/>
    <s v="HIMS"/>
    <s v="Haryana Government||Maharaja Agrasen Medical College"/>
    <d v="2023-02-22T00:00:00"/>
    <n v="-93"/>
    <s v="Do not qualify"/>
    <m/>
    <s v="Do not qualify"/>
    <x v="17"/>
    <s v="Experience of developing and implementing HIMS Software for the last five years._x000a_The software must have been installed and successfully &amp; running in at least five different hospitals of separate organization for the last three years with a minimum hospital bed capacity of 200 Beds each."/>
    <m/>
    <s v="Design, Development and Implementation of Hospital Information Management System (HIMS)"/>
    <s v="Link"/>
  </r>
  <r>
    <n v="40"/>
    <s v="GEM/2023/B/3013925"/>
    <x v="0"/>
    <x v="16"/>
    <s v="Jan/23"/>
    <n v="121"/>
    <s v="No"/>
    <x v="0"/>
    <s v="IIFCL"/>
    <s v="Indian Infrastructure_x000a_Finance Company Ltd. ||_x000a_"/>
    <d v="2023-03-06T00:00:00"/>
    <n v="-81"/>
    <s v="Do not qualify"/>
    <m/>
    <s v="Do not qualify"/>
    <x v="1"/>
    <m/>
    <m/>
    <m/>
    <s v="Link"/>
  </r>
  <r>
    <n v="41"/>
    <s v="2023_DHS_250459_1"/>
    <x v="0"/>
    <x v="17"/>
    <s v="Feb/23"/>
    <n v="108"/>
    <s v="No"/>
    <x v="4"/>
    <s v="ANMOL Portal"/>
    <s v="Directorate of Health Services||National Health Mission- MP"/>
    <d v="2023-02-28T00:00:00"/>
    <n v="-87"/>
    <s v="Sent for management comments"/>
    <m/>
    <s v="Under analysis"/>
    <x v="5"/>
    <m/>
    <m/>
    <m/>
    <s v="Link"/>
  </r>
  <r>
    <n v="42"/>
    <s v="2023_SCDR_869932_1"/>
    <x v="0"/>
    <x v="18"/>
    <s v="Feb/23"/>
    <n v="106"/>
    <s v="No"/>
    <x v="0"/>
    <s v="SCDLR"/>
    <s v="Settlement Commissioner _x000a_and Director of Land Records (M.S.) Pune||Deputy Collector and State Co-Ordinator e-Ferfar Pune"/>
    <d v="2023-02-27T00:00:00"/>
    <n v="-88"/>
    <s v="Do not qualify"/>
    <m/>
    <s v="Do not qualify"/>
    <x v="11"/>
    <m/>
    <m/>
    <m/>
    <s v="Link"/>
  </r>
  <r>
    <n v="43"/>
    <s v="2023_UPPCL_773247_1"/>
    <x v="0"/>
    <x v="19"/>
    <s v="Feb/23"/>
    <n v="100"/>
    <s v="No"/>
    <x v="8"/>
    <s v="UPPCL"/>
    <s v="Uttar Pradesh Power Corporation Ltd.||RAPDRP PART - A Unit"/>
    <d v="2023-03-01T00:00:00"/>
    <n v="-86"/>
    <s v="Do not qualify"/>
    <m/>
    <s v="Do not qualify"/>
    <x v="11"/>
    <m/>
    <m/>
    <m/>
    <s v="Link"/>
  </r>
  <r>
    <n v="44"/>
    <s v="GEM/2023/B/3062782"/>
    <x v="0"/>
    <x v="20"/>
    <s v="Feb/23"/>
    <n v="95"/>
    <s v="No"/>
    <x v="0"/>
    <s v="FTII"/>
    <s v="Film And Television Institue of India"/>
    <d v="2023-03-09T00:00:00"/>
    <n v="-78"/>
    <s v="Do not qualify"/>
    <m/>
    <s v="Do not qualify"/>
    <x v="5"/>
    <m/>
    <m/>
    <m/>
    <s v="Link"/>
  </r>
  <r>
    <n v="45"/>
    <s v="2023_LIC_698307_1"/>
    <x v="0"/>
    <x v="21"/>
    <s v="Feb/23"/>
    <n v="88"/>
    <s v="No"/>
    <x v="0"/>
    <s v="LIC"/>
    <s v="Life Insurance Corporation of India"/>
    <d v="2023-03-15T00:00:00"/>
    <n v="-72"/>
    <s v="Do not qualify"/>
    <m/>
    <s v="Do not qualify"/>
    <x v="14"/>
    <m/>
    <m/>
    <m/>
    <s v="Link"/>
  </r>
  <r>
    <n v="46"/>
    <s v="2023_GR_98102_1"/>
    <x v="2"/>
    <x v="22"/>
    <s v="Mar/23"/>
    <n v="81"/>
    <s v="No"/>
    <x v="9"/>
    <s v="eGovernance"/>
    <s v="Punjab State e-Governance Society"/>
    <d v="2023-03-27T00:00:00"/>
    <n v="-60"/>
    <s v="Filed"/>
    <m/>
    <s v="Filed"/>
    <x v="18"/>
    <m/>
    <m/>
    <m/>
    <s v="Link"/>
  </r>
  <r>
    <n v="49"/>
    <s v="GEM/2023/B/3236634"/>
    <x v="0"/>
    <x v="23"/>
    <s v="Mar/23"/>
    <n v="77"/>
    <s v="No"/>
    <x v="0"/>
    <s v="HRMS"/>
    <s v="Ministry of Defence"/>
    <d v="2023-03-28T00:00:00"/>
    <n v="-59"/>
    <s v="Do not qualify"/>
    <m/>
    <s v="Do not qualify"/>
    <x v="5"/>
    <m/>
    <m/>
    <m/>
    <s v="Link"/>
  </r>
  <r>
    <n v="50"/>
    <s v="2023_IAAD_702822_1"/>
    <x v="0"/>
    <x v="24"/>
    <s v="Mar/23"/>
    <n v="74"/>
    <s v="No"/>
    <x v="0"/>
    <s v="ODMS"/>
    <s v="Indian Audit and Accounts Department"/>
    <d v="2023-03-28T00:00:00"/>
    <n v="-59"/>
    <s v="Do not qualify"/>
    <m/>
    <s v="Do not qualify"/>
    <x v="6"/>
    <m/>
    <m/>
    <m/>
    <s v="Link"/>
  </r>
  <r>
    <n v="51"/>
    <s v="2023_RISL_325885_1"/>
    <x v="0"/>
    <x v="25"/>
    <s v="Mar/23"/>
    <n v="59"/>
    <s v="No"/>
    <x v="10"/>
    <s v="RISL"/>
    <s v="RajCOMP Info Services Limited"/>
    <d v="2023-04-21T00:00:00"/>
    <n v="-35"/>
    <s v="Do not qualify"/>
    <m/>
    <s v="Do not qualify"/>
    <x v="15"/>
    <m/>
    <m/>
    <m/>
    <s v="Link"/>
  </r>
  <r>
    <n v="52"/>
    <s v="GEM/2023/B/3296489"/>
    <x v="0"/>
    <x v="26"/>
    <s v="Apr/23"/>
    <n v="14"/>
    <s v="Yes"/>
    <x v="0"/>
    <s v="ICMR"/>
    <s v="Indian Council Of Medical Research"/>
    <d v="2023-04-21T00:00:00"/>
    <n v="14"/>
    <s v="Query Raised"/>
    <m/>
    <s v="Under analysis"/>
    <x v="15"/>
    <m/>
    <m/>
    <m/>
    <s v="Link"/>
  </r>
  <r>
    <n v="53"/>
    <s v="GEM/2023/B/3368435"/>
    <x v="0"/>
    <x v="27"/>
    <s v="Apr/23"/>
    <n v="16"/>
    <s v="Yes"/>
    <x v="0"/>
    <s v="MEFCC"/>
    <s v="Ministry Of Environment Forest And Climate Change"/>
    <d v="2023-05-09T00:00:00"/>
    <n v="16"/>
    <s v="Do not qualify"/>
    <m/>
    <m/>
    <x v="15"/>
    <m/>
    <m/>
    <m/>
    <s v="Link"/>
  </r>
  <r>
    <n v="54"/>
    <s v="2023_HBC_281046_1"/>
    <x v="5"/>
    <x v="28"/>
    <s v="May/23"/>
    <n v="15"/>
    <s v="Yes"/>
    <x v="7"/>
    <s v="MICADA"/>
    <s v="_x0009_Haryana Board Corporation||HARTRON"/>
    <d v="2023-05-31T00:00:00"/>
    <n v="15"/>
    <m/>
    <m/>
    <m/>
    <x v="13"/>
    <m/>
    <m/>
    <m/>
    <s v="Link"/>
  </r>
  <r>
    <m/>
    <m/>
    <x v="6"/>
    <x v="29"/>
    <m/>
    <m/>
    <m/>
    <x v="11"/>
    <m/>
    <m/>
    <m/>
    <m/>
    <m/>
    <m/>
    <m/>
    <x v="13"/>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
  <r>
    <n v="1"/>
    <m/>
    <s v="Inactive"/>
    <d v="2022-09-12T00:00:00"/>
    <s v="Sep/22"/>
    <n v="256"/>
    <x v="0"/>
    <x v="0"/>
    <m/>
  </r>
  <r>
    <n v="2"/>
    <m/>
    <s v="Inactive"/>
    <d v="2022-09-12T00:00:00"/>
    <s v="Sep/22"/>
    <n v="256"/>
    <x v="0"/>
    <x v="0"/>
    <m/>
  </r>
  <r>
    <n v="3"/>
    <m/>
    <s v="Inactive"/>
    <d v="2022-09-12T00:00:00"/>
    <s v="Sep/22"/>
    <n v="256"/>
    <x v="0"/>
    <x v="0"/>
    <m/>
  </r>
  <r>
    <n v="4"/>
    <m/>
    <s v="Inactive"/>
    <d v="2022-09-12T00:00:00"/>
    <s v="Sep/22"/>
    <n v="256"/>
    <x v="0"/>
    <x v="0"/>
    <m/>
  </r>
  <r>
    <n v="5"/>
    <m/>
    <s v="Inactive"/>
    <d v="2022-09-12T00:00:00"/>
    <s v="Sep/22"/>
    <n v="256"/>
    <x v="0"/>
    <x v="0"/>
    <m/>
  </r>
  <r>
    <n v="6"/>
    <m/>
    <s v="Inactive"/>
    <d v="2022-09-28T00:00:00"/>
    <s v="Sep/22"/>
    <n v="240"/>
    <x v="0"/>
    <x v="0"/>
    <m/>
  </r>
  <r>
    <n v="7"/>
    <m/>
    <s v="Inactive"/>
    <d v="2022-09-28T00:00:00"/>
    <s v="Sep/22"/>
    <n v="240"/>
    <x v="0"/>
    <x v="0"/>
    <m/>
  </r>
  <r>
    <n v="8"/>
    <m/>
    <s v="Inactive"/>
    <d v="2022-09-28T00:00:00"/>
    <s v="Sep/22"/>
    <n v="240"/>
    <x v="0"/>
    <x v="0"/>
    <m/>
  </r>
  <r>
    <n v="9"/>
    <m/>
    <s v="Inactive"/>
    <d v="2022-09-28T00:00:00"/>
    <s v="Sep/22"/>
    <n v="240"/>
    <x v="0"/>
    <x v="0"/>
    <m/>
  </r>
  <r>
    <n v="10"/>
    <m/>
    <s v="Inactive"/>
    <d v="2022-10-10T00:00:00"/>
    <s v="Oct/22"/>
    <n v="228"/>
    <x v="0"/>
    <x v="0"/>
    <m/>
  </r>
  <r>
    <n v="11"/>
    <m/>
    <s v="Inactive"/>
    <d v="2022-10-10T00:00:00"/>
    <s v="Oct/22"/>
    <n v="228"/>
    <x v="0"/>
    <x v="0"/>
    <m/>
  </r>
  <r>
    <n v="12"/>
    <m/>
    <s v="Inactive"/>
    <d v="2022-10-10T00:00:00"/>
    <s v="Oct/22"/>
    <n v="228"/>
    <x v="0"/>
    <x v="0"/>
    <m/>
  </r>
  <r>
    <n v="13"/>
    <m/>
    <s v="Inactive"/>
    <d v="2022-10-05T00:00:00"/>
    <s v="Oct/22"/>
    <n v="233"/>
    <x v="0"/>
    <x v="0"/>
    <m/>
  </r>
  <r>
    <n v="14"/>
    <m/>
    <s v="Inactive"/>
    <d v="2022-10-05T00:00:00"/>
    <s v="Oct/22"/>
    <n v="233"/>
    <x v="0"/>
    <x v="0"/>
    <m/>
  </r>
  <r>
    <n v="15"/>
    <m/>
    <s v="Inactive"/>
    <d v="2022-10-05T00:00:00"/>
    <s v="Oct/22"/>
    <n v="233"/>
    <x v="0"/>
    <x v="0"/>
    <m/>
  </r>
  <r>
    <n v="16"/>
    <m/>
    <s v="Inactive"/>
    <d v="2022-10-11T00:00:00"/>
    <s v="Oct/22"/>
    <n v="227"/>
    <x v="0"/>
    <x v="0"/>
    <m/>
  </r>
  <r>
    <n v="17"/>
    <m/>
    <s v="Inactive"/>
    <d v="2022-10-11T00:00:00"/>
    <s v="Oct/22"/>
    <n v="227"/>
    <x v="0"/>
    <x v="0"/>
    <m/>
  </r>
  <r>
    <n v="18"/>
    <m/>
    <s v="Inactive"/>
    <d v="2022-10-20T00:00:00"/>
    <s v="Oct/22"/>
    <n v="218"/>
    <x v="0"/>
    <x v="0"/>
    <m/>
  </r>
  <r>
    <n v="19"/>
    <m/>
    <s v="Inactive"/>
    <d v="2022-10-20T00:00:00"/>
    <s v="Oct/22"/>
    <n v="218"/>
    <x v="0"/>
    <x v="0"/>
    <m/>
  </r>
  <r>
    <n v="19"/>
    <m/>
    <s v="Inactive"/>
    <d v="2022-11-05T00:00:00"/>
    <s v="Nov/22"/>
    <n v="202"/>
    <x v="0"/>
    <x v="0"/>
    <m/>
  </r>
  <r>
    <n v="20"/>
    <m/>
    <s v="Inactive"/>
    <d v="2022-11-12T00:00:00"/>
    <s v="Nov/22"/>
    <n v="195"/>
    <x v="0"/>
    <x v="0"/>
    <m/>
  </r>
  <r>
    <n v="21"/>
    <s v="2022_EPIL_686724_1"/>
    <s v="Filed, result awaited"/>
    <d v="2022-11-18T00:00:00"/>
    <s v="Nov/22"/>
    <n v="189"/>
    <x v="0"/>
    <x v="0"/>
    <s v="EPI"/>
  </r>
  <r>
    <n v="22"/>
    <m/>
    <s v="Inactive"/>
    <d v="2022-11-18T00:00:00"/>
    <s v="Nov/22"/>
    <n v="189"/>
    <x v="0"/>
    <x v="0"/>
    <m/>
  </r>
  <r>
    <n v="23"/>
    <s v="2022_GR_92674_1"/>
    <s v="Filed and Refund Received"/>
    <d v="2022-11-24T00:00:00"/>
    <s v="Nov/22"/>
    <n v="183"/>
    <x v="0"/>
    <x v="0"/>
    <s v="DGR"/>
  </r>
  <r>
    <n v="24"/>
    <m/>
    <s v="Inactive"/>
    <d v="2022-11-24T00:00:00"/>
    <s v="Nov/22"/>
    <n v="183"/>
    <x v="0"/>
    <x v="0"/>
    <m/>
  </r>
  <r>
    <n v="25"/>
    <m/>
    <s v="Inactive"/>
    <d v="2022-11-24T00:00:00"/>
    <s v="Nov/22"/>
    <n v="183"/>
    <x v="0"/>
    <x v="0"/>
    <m/>
  </r>
  <r>
    <n v="26"/>
    <m/>
    <s v="Inactive"/>
    <d v="2022-11-24T00:00:00"/>
    <s v="Nov/22"/>
    <n v="183"/>
    <x v="0"/>
    <x v="1"/>
    <m/>
  </r>
  <r>
    <n v="32"/>
    <m/>
    <s v="Inactive"/>
    <d v="2022-12-05T00:00:00"/>
    <s v="Dec/22"/>
    <n v="172"/>
    <x v="0"/>
    <x v="2"/>
    <m/>
  </r>
  <r>
    <n v="33"/>
    <s v="2022_DTE_93410_1"/>
    <s v="Filed but cancelled by tenderer"/>
    <d v="2022-12-10T00:00:00"/>
    <s v="Dec/22"/>
    <n v="167"/>
    <x v="0"/>
    <x v="3"/>
    <s v="Punjab skill"/>
  </r>
  <r>
    <n v="34"/>
    <m/>
    <s v="Inactive"/>
    <d v="2022-12-19T00:00:00"/>
    <s v="Dec/22"/>
    <n v="158"/>
    <x v="0"/>
    <x v="4"/>
    <m/>
  </r>
  <r>
    <n v="35"/>
    <s v="_x0009_2022_FACT_731102_1"/>
    <s v="Inactive"/>
    <d v="2022-12-27T00:00:00"/>
    <s v="Dec/22"/>
    <n v="150"/>
    <x v="0"/>
    <x v="5"/>
    <m/>
  </r>
  <r>
    <n v="36"/>
    <s v="2022_PWPIU_239609_1"/>
    <s v="Inactive"/>
    <d v="2022-12-27T00:00:00"/>
    <s v="Dec/22"/>
    <n v="150"/>
    <x v="0"/>
    <x v="4"/>
    <m/>
  </r>
  <r>
    <n v="37"/>
    <s v="2022_HPCDP_66827_1"/>
    <s v="Inactive"/>
    <d v="2022-12-29T00:00:00"/>
    <s v="Dec/22"/>
    <n v="148"/>
    <x v="0"/>
    <x v="6"/>
    <m/>
  </r>
  <r>
    <n v="38"/>
    <s v="2023_HBC_252437_1"/>
    <s v="Filed and Selected"/>
    <d v="2023-01-06T00:00:00"/>
    <s v="Jan/23"/>
    <n v="140"/>
    <x v="0"/>
    <x v="7"/>
    <s v="HARTRON"/>
  </r>
  <r>
    <n v="39"/>
    <s v="2023_HRY_255221_1"/>
    <s v="Inactive"/>
    <d v="2023-01-25T00:00:00"/>
    <s v="Jan/23"/>
    <n v="121"/>
    <x v="0"/>
    <x v="7"/>
    <s v="HIMS"/>
  </r>
  <r>
    <n v="40"/>
    <s v="GEM/2023/B/3013925"/>
    <s v="Inactive"/>
    <d v="2023-01-25T00:00:00"/>
    <s v="Jan/23"/>
    <n v="121"/>
    <x v="0"/>
    <x v="0"/>
    <s v="IIFCL"/>
  </r>
  <r>
    <n v="41"/>
    <s v="2023_DHS_250459_1"/>
    <s v="Inactive"/>
    <d v="2023-02-07T00:00:00"/>
    <s v="Feb/23"/>
    <n v="108"/>
    <x v="0"/>
    <x v="4"/>
    <s v="ANMOL Portal"/>
  </r>
  <r>
    <n v="42"/>
    <s v="2023_SCDR_869932_1"/>
    <s v="Inactive"/>
    <d v="2023-02-09T00:00:00"/>
    <s v="Feb/23"/>
    <n v="106"/>
    <x v="0"/>
    <x v="0"/>
    <s v="SCDLR"/>
  </r>
  <r>
    <n v="43"/>
    <s v="2023_UPPCL_773247_1"/>
    <s v="Inactive"/>
    <d v="2023-02-15T00:00:00"/>
    <s v="Feb/23"/>
    <n v="100"/>
    <x v="0"/>
    <x v="8"/>
    <s v="UPPCL"/>
  </r>
  <r>
    <n v="44"/>
    <s v="GEM/2023/B/3062782"/>
    <s v="Inactive"/>
    <d v="2023-02-20T00:00:00"/>
    <s v="Feb/23"/>
    <n v="95"/>
    <x v="0"/>
    <x v="0"/>
    <s v="FTII"/>
  </r>
  <r>
    <n v="45"/>
    <s v="2023_LIC_698307_1"/>
    <s v="Inactive"/>
    <d v="2023-02-27T00:00:00"/>
    <s v="Feb/23"/>
    <n v="88"/>
    <x v="0"/>
    <x v="0"/>
    <s v="LIC"/>
  </r>
  <r>
    <n v="46"/>
    <s v="2023_GR_98102_1"/>
    <s v="Filed and Refund Received"/>
    <d v="2023-03-06T00:00:00"/>
    <s v="Mar/23"/>
    <n v="81"/>
    <x v="0"/>
    <x v="9"/>
    <s v="eGovernance"/>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d v="2022-09-12T00:00:00"/>
    <x v="0"/>
    <s v="NA"/>
    <x v="0"/>
    <x v="0"/>
  </r>
  <r>
    <x v="1"/>
    <x v="1"/>
    <s v="21/12/2022"/>
    <x v="1"/>
    <s v="INR 3860"/>
    <x v="1"/>
    <x v="1"/>
  </r>
  <r>
    <x v="2"/>
    <x v="2"/>
    <d v="2023-05-01T00:00:00"/>
    <x v="2"/>
    <s v="INR2,000"/>
    <x v="2"/>
    <x v="2"/>
  </r>
  <r>
    <x v="3"/>
    <x v="3"/>
    <s v="28/02/2023"/>
    <x v="3"/>
    <s v="INR30,000 + INR1000 + GST"/>
    <x v="0"/>
    <x v="3"/>
  </r>
  <r>
    <x v="4"/>
    <x v="1"/>
    <s v="28/03/2023"/>
    <x v="4"/>
    <s v="INR2000"/>
    <x v="3"/>
    <x v="4"/>
  </r>
  <r>
    <x v="5"/>
    <x v="4"/>
    <m/>
    <x v="5"/>
    <m/>
    <x v="4"/>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5" cacheId="42"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rowHeaderCaption="Tenderers" colHeaderCaption="Final Status" customListSort="0">
  <location ref="J8:L16" firstHeaderRow="1" firstDataRow="2" firstDataCol="1"/>
  <pivotFields count="21">
    <pivotField showAll="0"/>
    <pivotField showAll="0"/>
    <pivotField axis="axisCol" dataField="1" multipleItemSelectionAllowed="1" showAll="0">
      <items count="10">
        <item x="5"/>
        <item m="1" x="7"/>
        <item x="3"/>
        <item h="1" x="0"/>
        <item h="1" x="6"/>
        <item x="2"/>
        <item x="4"/>
        <item h="1" x="1"/>
        <item h="1" m="1" x="8"/>
        <item t="default"/>
      </items>
    </pivotField>
    <pivotField showAll="0"/>
    <pivotField showAll="0"/>
    <pivotField showAll="0"/>
    <pivotField showAll="0"/>
    <pivotField showAll="0"/>
    <pivotField axis="axisRow" showAll="0">
      <items count="22">
        <item x="2"/>
        <item x="1"/>
        <item x="4"/>
        <item h="1" x="3"/>
        <item h="1" x="0"/>
        <item h="1" x="5"/>
        <item h="1" x="6"/>
        <item h="1" m="1" x="19"/>
        <item n="d" h="1" x="7"/>
        <item h="1" x="8"/>
        <item h="1" x="9"/>
        <item h="1" x="10"/>
        <item h="1" x="11"/>
        <item x="12"/>
        <item h="1" x="13"/>
        <item h="1" x="14"/>
        <item h="1" x="15"/>
        <item h="1" m="1" x="20"/>
        <item x="16"/>
        <item h="1" x="17"/>
        <item h="1" x="18"/>
        <item t="default"/>
      </items>
    </pivotField>
    <pivotField showAll="0"/>
    <pivotField showAll="0"/>
    <pivotField showAll="0"/>
    <pivotField showAll="0"/>
    <pivotField showAll="0"/>
    <pivotField showAll="0">
      <items count="7">
        <item x="0"/>
        <item x="1"/>
        <item x="3"/>
        <item x="2"/>
        <item x="4"/>
        <item h="1" x="5"/>
        <item t="default"/>
      </items>
    </pivotField>
    <pivotField showAll="0"/>
    <pivotField showAll="0"/>
    <pivotField showAll="0"/>
    <pivotField showAll="0"/>
    <pivotField showAll="0"/>
    <pivotField axis="axisRow" showAll="0">
      <items count="26">
        <item x="3"/>
        <item m="1" x="19"/>
        <item x="0"/>
        <item x="1"/>
        <item m="1" x="21"/>
        <item x="4"/>
        <item m="1" x="16"/>
        <item m="1" x="15"/>
        <item m="1" x="23"/>
        <item x="6"/>
        <item x="7"/>
        <item m="1" x="18"/>
        <item x="8"/>
        <item x="9"/>
        <item x="10"/>
        <item x="11"/>
        <item m="1" x="20"/>
        <item m="1" x="22"/>
        <item m="1" x="24"/>
        <item m="1" x="17"/>
        <item x="12"/>
        <item x="5"/>
        <item x="2"/>
        <item x="13"/>
        <item x="14"/>
        <item t="default"/>
      </items>
    </pivotField>
  </pivotFields>
  <rowFields count="2">
    <field x="8"/>
    <field x="20"/>
  </rowFields>
  <rowItems count="7">
    <i>
      <x/>
    </i>
    <i r="1">
      <x v="22"/>
    </i>
    <i>
      <x v="2"/>
    </i>
    <i r="1">
      <x v="21"/>
    </i>
    <i>
      <x v="13"/>
    </i>
    <i r="1">
      <x v="20"/>
    </i>
    <i t="grand">
      <x/>
    </i>
  </rowItems>
  <colFields count="1">
    <field x="2"/>
  </colFields>
  <colItems count="2">
    <i>
      <x v="5"/>
    </i>
    <i>
      <x v="6"/>
    </i>
  </colItems>
  <dataFields count="1">
    <dataField name="." fld="2" subtotal="count" baseField="0" baseItem="0"/>
  </dataFields>
  <formats count="106">
    <format dxfId="622">
      <pivotArea dataOnly="0" labelOnly="1" fieldPosition="0">
        <references count="2">
          <reference field="8" count="1" selected="0">
            <x v="0"/>
          </reference>
          <reference field="20" count="1">
            <x v="1"/>
          </reference>
        </references>
      </pivotArea>
    </format>
    <format dxfId="621">
      <pivotArea type="topRight" dataOnly="0" labelOnly="1" outline="0" fieldPosition="0"/>
    </format>
    <format dxfId="620">
      <pivotArea field="14" type="button" dataOnly="0" labelOnly="1" outline="0"/>
    </format>
    <format dxfId="619">
      <pivotArea field="8" type="button" dataOnly="0" labelOnly="1" outline="0" axis="axisRow" fieldPosition="0"/>
    </format>
    <format dxfId="618">
      <pivotArea type="origin" dataOnly="0" labelOnly="1" outline="0" fieldPosition="0"/>
    </format>
    <format dxfId="617">
      <pivotArea dataOnly="0" labelOnly="1" fieldPosition="0">
        <references count="1">
          <reference field="8" count="1">
            <x v="0"/>
          </reference>
        </references>
      </pivotArea>
    </format>
    <format dxfId="616">
      <pivotArea dataOnly="0" labelOnly="1" fieldPosition="0">
        <references count="2">
          <reference field="8" count="1" selected="0">
            <x v="0"/>
          </reference>
          <reference field="20" count="1">
            <x v="1"/>
          </reference>
        </references>
      </pivotArea>
    </format>
    <format dxfId="615">
      <pivotArea dataOnly="0" labelOnly="1" fieldPosition="0">
        <references count="1">
          <reference field="8" count="1">
            <x v="1"/>
          </reference>
        </references>
      </pivotArea>
    </format>
    <format dxfId="614">
      <pivotArea dataOnly="0" labelOnly="1" fieldPosition="0">
        <references count="2">
          <reference field="8" count="1" selected="0">
            <x v="1"/>
          </reference>
          <reference field="20" count="1">
            <x v="2"/>
          </reference>
        </references>
      </pivotArea>
    </format>
    <format dxfId="613">
      <pivotArea dataOnly="0" labelOnly="1" fieldPosition="0">
        <references count="1">
          <reference field="8" count="1">
            <x v="2"/>
          </reference>
        </references>
      </pivotArea>
    </format>
    <format dxfId="612">
      <pivotArea dataOnly="0" labelOnly="1" fieldPosition="0">
        <references count="2">
          <reference field="8" count="1" selected="0">
            <x v="2"/>
          </reference>
          <reference field="20" count="1">
            <x v="2"/>
          </reference>
        </references>
      </pivotArea>
    </format>
    <format dxfId="611">
      <pivotArea type="all" dataOnly="0" outline="0" fieldPosition="0"/>
    </format>
    <format dxfId="610">
      <pivotArea outline="0" collapsedLevelsAreSubtotals="1" fieldPosition="0"/>
    </format>
    <format dxfId="609">
      <pivotArea type="origin" dataOnly="0" labelOnly="1" outline="0" fieldPosition="0"/>
    </format>
    <format dxfId="608">
      <pivotArea field="14" type="button" dataOnly="0" labelOnly="1" outline="0"/>
    </format>
    <format dxfId="607">
      <pivotArea type="topRight" dataOnly="0" labelOnly="1" outline="0" fieldPosition="0"/>
    </format>
    <format dxfId="606">
      <pivotArea field="8" type="button" dataOnly="0" labelOnly="1" outline="0" axis="axisRow" fieldPosition="0"/>
    </format>
    <format dxfId="605">
      <pivotArea dataOnly="0" labelOnly="1" fieldPosition="0">
        <references count="1">
          <reference field="8" count="3">
            <x v="0"/>
            <x v="1"/>
            <x v="2"/>
          </reference>
        </references>
      </pivotArea>
    </format>
    <format dxfId="604">
      <pivotArea dataOnly="0" labelOnly="1" fieldPosition="0">
        <references count="2">
          <reference field="8" count="1" selected="0">
            <x v="0"/>
          </reference>
          <reference field="20" count="1">
            <x v="1"/>
          </reference>
        </references>
      </pivotArea>
    </format>
    <format dxfId="603">
      <pivotArea dataOnly="0" labelOnly="1" fieldPosition="0">
        <references count="2">
          <reference field="8" count="1" selected="0">
            <x v="1"/>
          </reference>
          <reference field="20" count="1">
            <x v="2"/>
          </reference>
        </references>
      </pivotArea>
    </format>
    <format dxfId="602">
      <pivotArea dataOnly="0" labelOnly="1" fieldPosition="0">
        <references count="2">
          <reference field="8" count="1" selected="0">
            <x v="2"/>
          </reference>
          <reference field="20" count="1">
            <x v="2"/>
          </reference>
        </references>
      </pivotArea>
    </format>
    <format dxfId="601">
      <pivotArea type="all" dataOnly="0" outline="0" fieldPosition="0"/>
    </format>
    <format dxfId="600">
      <pivotArea outline="0" collapsedLevelsAreSubtotals="1" fieldPosition="0"/>
    </format>
    <format dxfId="599">
      <pivotArea type="origin" dataOnly="0" labelOnly="1" outline="0" fieldPosition="0"/>
    </format>
    <format dxfId="598">
      <pivotArea field="14" type="button" dataOnly="0" labelOnly="1" outline="0"/>
    </format>
    <format dxfId="597">
      <pivotArea type="topRight" dataOnly="0" labelOnly="1" outline="0" fieldPosition="0"/>
    </format>
    <format dxfId="596">
      <pivotArea field="8" type="button" dataOnly="0" labelOnly="1" outline="0" axis="axisRow" fieldPosition="0"/>
    </format>
    <format dxfId="595">
      <pivotArea dataOnly="0" labelOnly="1" fieldPosition="0">
        <references count="1">
          <reference field="8" count="3">
            <x v="0"/>
            <x v="1"/>
            <x v="2"/>
          </reference>
        </references>
      </pivotArea>
    </format>
    <format dxfId="594">
      <pivotArea dataOnly="0" labelOnly="1" fieldPosition="0">
        <references count="2">
          <reference field="8" count="1" selected="0">
            <x v="0"/>
          </reference>
          <reference field="20" count="1">
            <x v="1"/>
          </reference>
        </references>
      </pivotArea>
    </format>
    <format dxfId="593">
      <pivotArea dataOnly="0" labelOnly="1" fieldPosition="0">
        <references count="2">
          <reference field="8" count="1" selected="0">
            <x v="1"/>
          </reference>
          <reference field="20" count="1">
            <x v="2"/>
          </reference>
        </references>
      </pivotArea>
    </format>
    <format dxfId="592">
      <pivotArea dataOnly="0" labelOnly="1" fieldPosition="0">
        <references count="2">
          <reference field="8" count="1" selected="0">
            <x v="2"/>
          </reference>
          <reference field="20" count="1">
            <x v="2"/>
          </reference>
        </references>
      </pivotArea>
    </format>
    <format dxfId="591">
      <pivotArea type="all" dataOnly="0" outline="0" fieldPosition="0"/>
    </format>
    <format dxfId="590">
      <pivotArea outline="0" collapsedLevelsAreSubtotals="1" fieldPosition="0"/>
    </format>
    <format dxfId="589">
      <pivotArea type="origin" dataOnly="0" labelOnly="1" outline="0" fieldPosition="0"/>
    </format>
    <format dxfId="588">
      <pivotArea field="2" type="button" dataOnly="0" labelOnly="1" outline="0" axis="axisCol" fieldPosition="0"/>
    </format>
    <format dxfId="587">
      <pivotArea type="topRight" dataOnly="0" labelOnly="1" outline="0" fieldPosition="0"/>
    </format>
    <format dxfId="586">
      <pivotArea field="8" type="button" dataOnly="0" labelOnly="1" outline="0" axis="axisRow" fieldPosition="0"/>
    </format>
    <format dxfId="585">
      <pivotArea dataOnly="0" labelOnly="1" fieldPosition="0">
        <references count="1">
          <reference field="8" count="0"/>
        </references>
      </pivotArea>
    </format>
    <format dxfId="584">
      <pivotArea dataOnly="0" labelOnly="1" grandRow="1" outline="0" fieldPosition="0"/>
    </format>
    <format dxfId="583">
      <pivotArea dataOnly="0" labelOnly="1" fieldPosition="0">
        <references count="2">
          <reference field="8" count="1" selected="0">
            <x v="0"/>
          </reference>
          <reference field="20" count="1">
            <x v="1"/>
          </reference>
        </references>
      </pivotArea>
    </format>
    <format dxfId="582">
      <pivotArea dataOnly="0" labelOnly="1" fieldPosition="0">
        <references count="2">
          <reference field="8" count="1" selected="0">
            <x v="1"/>
          </reference>
          <reference field="20" count="1">
            <x v="2"/>
          </reference>
        </references>
      </pivotArea>
    </format>
    <format dxfId="581">
      <pivotArea dataOnly="0" labelOnly="1" fieldPosition="0">
        <references count="2">
          <reference field="8" count="1" selected="0">
            <x v="2"/>
          </reference>
          <reference field="20" count="1">
            <x v="2"/>
          </reference>
        </references>
      </pivotArea>
    </format>
    <format dxfId="580">
      <pivotArea dataOnly="0" labelOnly="1" fieldPosition="0">
        <references count="2">
          <reference field="8" count="1" selected="0">
            <x v="3"/>
          </reference>
          <reference field="20" count="1">
            <x v="2"/>
          </reference>
        </references>
      </pivotArea>
    </format>
    <format dxfId="579">
      <pivotArea type="all" dataOnly="0" outline="0" fieldPosition="0"/>
    </format>
    <format dxfId="578">
      <pivotArea outline="0" collapsedLevelsAreSubtotals="1" fieldPosition="0"/>
    </format>
    <format dxfId="577">
      <pivotArea type="origin" dataOnly="0" labelOnly="1" outline="0" fieldPosition="0"/>
    </format>
    <format dxfId="576">
      <pivotArea field="2" type="button" dataOnly="0" labelOnly="1" outline="0" axis="axisCol" fieldPosition="0"/>
    </format>
    <format dxfId="575">
      <pivotArea type="topRight" dataOnly="0" labelOnly="1" outline="0" fieldPosition="0"/>
    </format>
    <format dxfId="574">
      <pivotArea field="8" type="button" dataOnly="0" labelOnly="1" outline="0" axis="axisRow" fieldPosition="0"/>
    </format>
    <format dxfId="573">
      <pivotArea dataOnly="0" labelOnly="1" fieldPosition="0">
        <references count="1">
          <reference field="8" count="0"/>
        </references>
      </pivotArea>
    </format>
    <format dxfId="572">
      <pivotArea dataOnly="0" labelOnly="1" grandRow="1" outline="0" fieldPosition="0"/>
    </format>
    <format dxfId="571">
      <pivotArea dataOnly="0" labelOnly="1" fieldPosition="0">
        <references count="2">
          <reference field="8" count="1" selected="0">
            <x v="0"/>
          </reference>
          <reference field="20" count="1">
            <x v="1"/>
          </reference>
        </references>
      </pivotArea>
    </format>
    <format dxfId="570">
      <pivotArea dataOnly="0" labelOnly="1" fieldPosition="0">
        <references count="2">
          <reference field="8" count="1" selected="0">
            <x v="1"/>
          </reference>
          <reference field="20" count="1">
            <x v="2"/>
          </reference>
        </references>
      </pivotArea>
    </format>
    <format dxfId="569">
      <pivotArea dataOnly="0" labelOnly="1" fieldPosition="0">
        <references count="2">
          <reference field="8" count="1" selected="0">
            <x v="2"/>
          </reference>
          <reference field="20" count="1">
            <x v="2"/>
          </reference>
        </references>
      </pivotArea>
    </format>
    <format dxfId="568">
      <pivotArea dataOnly="0" labelOnly="1" fieldPosition="0">
        <references count="2">
          <reference field="8" count="1" selected="0">
            <x v="3"/>
          </reference>
          <reference field="20" count="1">
            <x v="2"/>
          </reference>
        </references>
      </pivotArea>
    </format>
    <format dxfId="567">
      <pivotArea type="origin" dataOnly="0" labelOnly="1" outline="0" fieldPosition="0"/>
    </format>
    <format dxfId="566">
      <pivotArea field="8" type="button" dataOnly="0" labelOnly="1" outline="0" axis="axisRow" fieldPosition="0"/>
    </format>
    <format dxfId="565">
      <pivotArea dataOnly="0" labelOnly="1" fieldPosition="0">
        <references count="1">
          <reference field="8" count="0"/>
        </references>
      </pivotArea>
    </format>
    <format dxfId="564">
      <pivotArea dataOnly="0" labelOnly="1" grandRow="1" outline="0" fieldPosition="0"/>
    </format>
    <format dxfId="563">
      <pivotArea dataOnly="0" labelOnly="1" fieldPosition="0">
        <references count="2">
          <reference field="8" count="1" selected="0">
            <x v="0"/>
          </reference>
          <reference field="20" count="1">
            <x v="4"/>
          </reference>
        </references>
      </pivotArea>
    </format>
    <format dxfId="562">
      <pivotArea dataOnly="0" labelOnly="1" fieldPosition="0">
        <references count="2">
          <reference field="8" count="1" selected="0">
            <x v="1"/>
          </reference>
          <reference field="20" count="1">
            <x v="3"/>
          </reference>
        </references>
      </pivotArea>
    </format>
    <format dxfId="561">
      <pivotArea dataOnly="0" labelOnly="1" fieldPosition="0">
        <references count="2">
          <reference field="8" count="1" selected="0">
            <x v="2"/>
          </reference>
          <reference field="20" count="1">
            <x v="2"/>
          </reference>
        </references>
      </pivotArea>
    </format>
    <format dxfId="560">
      <pivotArea dataOnly="0" labelOnly="1" fieldPosition="0">
        <references count="2">
          <reference field="8" count="1" selected="0">
            <x v="3"/>
          </reference>
          <reference field="20" count="1">
            <x v="5"/>
          </reference>
        </references>
      </pivotArea>
    </format>
    <format dxfId="559">
      <pivotArea outline="0" collapsedLevelsAreSubtotals="1" fieldPosition="0"/>
    </format>
    <format dxfId="558">
      <pivotArea dataOnly="0" labelOnly="1" fieldPosition="0">
        <references count="1">
          <reference field="8" count="1">
            <x v="0"/>
          </reference>
        </references>
      </pivotArea>
    </format>
    <format dxfId="557">
      <pivotArea dataOnly="0" labelOnly="1" fieldPosition="0">
        <references count="1">
          <reference field="8" count="1">
            <x v="1"/>
          </reference>
        </references>
      </pivotArea>
    </format>
    <format dxfId="556">
      <pivotArea dataOnly="0" labelOnly="1" fieldPosition="0">
        <references count="1">
          <reference field="8" count="1">
            <x v="2"/>
          </reference>
        </references>
      </pivotArea>
    </format>
    <format dxfId="555">
      <pivotArea dataOnly="0" labelOnly="1" fieldPosition="0">
        <references count="1">
          <reference field="8" count="1">
            <x v="3"/>
          </reference>
        </references>
      </pivotArea>
    </format>
    <format dxfId="554">
      <pivotArea type="all" dataOnly="0" outline="0" fieldPosition="0"/>
    </format>
    <format dxfId="553">
      <pivotArea type="origin" dataOnly="0" labelOnly="1" outline="0" fieldPosition="0"/>
    </format>
    <format dxfId="552">
      <pivotArea field="8" type="button" dataOnly="0" labelOnly="1" outline="0" axis="axisRow" fieldPosition="0"/>
    </format>
    <format dxfId="551">
      <pivotArea dataOnly="0" labelOnly="1" fieldPosition="0">
        <references count="1">
          <reference field="8" count="0"/>
        </references>
      </pivotArea>
    </format>
    <format dxfId="550">
      <pivotArea dataOnly="0" labelOnly="1" grandRow="1" outline="0" fieldPosition="0"/>
    </format>
    <format dxfId="549">
      <pivotArea dataOnly="0" labelOnly="1" fieldPosition="0">
        <references count="1">
          <reference field="8" count="1">
            <x v="1"/>
          </reference>
        </references>
      </pivotArea>
    </format>
    <format dxfId="548">
      <pivotArea dataOnly="0" labelOnly="1" fieldPosition="0">
        <references count="1">
          <reference field="8" count="1">
            <x v="3"/>
          </reference>
        </references>
      </pivotArea>
    </format>
    <format dxfId="547">
      <pivotArea field="8" type="button" dataOnly="0" labelOnly="1" outline="0" axis="axisRow" fieldPosition="0"/>
    </format>
    <format dxfId="546">
      <pivotArea dataOnly="0" labelOnly="1" fieldPosition="0">
        <references count="2">
          <reference field="8" count="1" selected="0">
            <x v="0"/>
          </reference>
          <reference field="20" count="1">
            <x v="4"/>
          </reference>
        </references>
      </pivotArea>
    </format>
    <format dxfId="545">
      <pivotArea dataOnly="0" labelOnly="1" fieldPosition="0">
        <references count="2">
          <reference field="8" count="1" selected="0">
            <x v="1"/>
          </reference>
          <reference field="20" count="1">
            <x v="3"/>
          </reference>
        </references>
      </pivotArea>
    </format>
    <format dxfId="544">
      <pivotArea dataOnly="0" labelOnly="1" fieldPosition="0">
        <references count="2">
          <reference field="8" count="1" selected="0">
            <x v="2"/>
          </reference>
          <reference field="20" count="1">
            <x v="6"/>
          </reference>
        </references>
      </pivotArea>
    </format>
    <format dxfId="543">
      <pivotArea dataOnly="0" labelOnly="1" fieldPosition="0">
        <references count="2">
          <reference field="8" count="1" selected="0">
            <x v="3"/>
          </reference>
          <reference field="20" count="1">
            <x v="5"/>
          </reference>
        </references>
      </pivotArea>
    </format>
    <format dxfId="542">
      <pivotArea dataOnly="0" labelOnly="1" fieldPosition="0">
        <references count="1">
          <reference field="8" count="1">
            <x v="8"/>
          </reference>
        </references>
      </pivotArea>
    </format>
    <format dxfId="541">
      <pivotArea type="origin" dataOnly="0" labelOnly="1" outline="0" fieldPosition="0"/>
    </format>
    <format dxfId="540">
      <pivotArea field="8" type="button" dataOnly="0" labelOnly="1" outline="0" axis="axisRow" fieldPosition="0"/>
    </format>
    <format dxfId="539">
      <pivotArea dataOnly="0" labelOnly="1" fieldPosition="0">
        <references count="1">
          <reference field="8" count="0"/>
        </references>
      </pivotArea>
    </format>
    <format dxfId="538">
      <pivotArea dataOnly="0" labelOnly="1" grandRow="1" outline="0" fieldPosition="0"/>
    </format>
    <format dxfId="537">
      <pivotArea dataOnly="0" labelOnly="1" fieldPosition="0">
        <references count="2">
          <reference field="8" count="1" selected="0">
            <x v="0"/>
          </reference>
          <reference field="20" count="1">
            <x v="22"/>
          </reference>
        </references>
      </pivotArea>
    </format>
    <format dxfId="536">
      <pivotArea dataOnly="0" labelOnly="1" fieldPosition="0">
        <references count="2">
          <reference field="8" count="1" selected="0">
            <x v="1"/>
          </reference>
          <reference field="20" count="1">
            <x v="3"/>
          </reference>
        </references>
      </pivotArea>
    </format>
    <format dxfId="535">
      <pivotArea dataOnly="0" labelOnly="1" fieldPosition="0">
        <references count="2">
          <reference field="8" count="1" selected="0">
            <x v="2"/>
          </reference>
          <reference field="20" count="1">
            <x v="21"/>
          </reference>
        </references>
      </pivotArea>
    </format>
    <format dxfId="534">
      <pivotArea dataOnly="0" labelOnly="1" fieldPosition="0">
        <references count="2">
          <reference field="8" count="1" selected="0">
            <x v="13"/>
          </reference>
          <reference field="20" count="1">
            <x v="20"/>
          </reference>
        </references>
      </pivotArea>
    </format>
    <format dxfId="533">
      <pivotArea dataOnly="0" labelOnly="1" fieldPosition="0">
        <references count="2">
          <reference field="8" count="1" selected="0">
            <x v="18"/>
          </reference>
          <reference field="20" count="1">
            <x v="17"/>
          </reference>
        </references>
      </pivotArea>
    </format>
    <format dxfId="532">
      <pivotArea type="all" dataOnly="0" outline="0" fieldPosition="0"/>
    </format>
    <format dxfId="531">
      <pivotArea outline="0" collapsedLevelsAreSubtotals="1" fieldPosition="0"/>
    </format>
    <format dxfId="530">
      <pivotArea type="origin" dataOnly="0" labelOnly="1" outline="0" fieldPosition="0"/>
    </format>
    <format dxfId="529">
      <pivotArea field="2" type="button" dataOnly="0" labelOnly="1" outline="0" axis="axisCol" fieldPosition="0"/>
    </format>
    <format dxfId="528">
      <pivotArea type="topRight" dataOnly="0" labelOnly="1" outline="0" fieldPosition="0"/>
    </format>
    <format dxfId="527">
      <pivotArea field="8" type="button" dataOnly="0" labelOnly="1" outline="0" axis="axisRow" fieldPosition="0"/>
    </format>
    <format dxfId="526">
      <pivotArea dataOnly="0" labelOnly="1" fieldPosition="0">
        <references count="1">
          <reference field="8" count="4">
            <x v="0"/>
            <x v="2"/>
            <x v="13"/>
            <x v="18"/>
          </reference>
        </references>
      </pivotArea>
    </format>
    <format dxfId="525">
      <pivotArea dataOnly="0" labelOnly="1" grandRow="1" outline="0" fieldPosition="0"/>
    </format>
    <format dxfId="524">
      <pivotArea dataOnly="0" labelOnly="1" fieldPosition="0">
        <references count="2">
          <reference field="8" count="1" selected="0">
            <x v="0"/>
          </reference>
          <reference field="20" count="1">
            <x v="22"/>
          </reference>
        </references>
      </pivotArea>
    </format>
    <format dxfId="523">
      <pivotArea dataOnly="0" labelOnly="1" fieldPosition="0">
        <references count="2">
          <reference field="8" count="1" selected="0">
            <x v="2"/>
          </reference>
          <reference field="20" count="1">
            <x v="21"/>
          </reference>
        </references>
      </pivotArea>
    </format>
    <format dxfId="522">
      <pivotArea dataOnly="0" labelOnly="1" fieldPosition="0">
        <references count="2">
          <reference field="8" count="1" selected="0">
            <x v="13"/>
          </reference>
          <reference field="20" count="1">
            <x v="20"/>
          </reference>
        </references>
      </pivotArea>
    </format>
    <format dxfId="521">
      <pivotArea dataOnly="0" labelOnly="1" fieldPosition="0">
        <references count="2">
          <reference field="8" count="1" selected="0">
            <x v="18"/>
          </reference>
          <reference field="20" count="1">
            <x v="17"/>
          </reference>
        </references>
      </pivotArea>
    </format>
    <format dxfId="520">
      <pivotArea dataOnly="0" labelOnly="1" fieldPosition="0">
        <references count="1">
          <reference field="2" count="4">
            <x v="0"/>
            <x v="1"/>
            <x v="5"/>
            <x v="6"/>
          </reference>
        </references>
      </pivotArea>
    </format>
    <format dxfId="519">
      <pivotArea outline="0" collapsedLevelsAreSubtotals="1" fieldPosition="0">
        <references count="1">
          <reference field="2" count="1" selected="0">
            <x v="6"/>
          </reference>
        </references>
      </pivotArea>
    </format>
    <format dxfId="518">
      <pivotArea type="topRight" dataOnly="0" labelOnly="1" outline="0" offset="C1" fieldPosition="0"/>
    </format>
    <format dxfId="517">
      <pivotArea dataOnly="0" labelOnly="1" fieldPosition="0">
        <references count="1">
          <reference field="2" count="1">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PivotTable2" cacheId="42" applyNumberFormats="0" applyBorderFormats="0" applyFontFormats="0" applyPatternFormats="0" applyAlignmentFormats="0" applyWidthHeightFormats="1" dataCaption="Values" updatedVersion="8" minRefreshableVersion="5" useAutoFormatting="1" itemPrintTitles="1" createdVersion="5" indent="0" outline="1" outlineData="1" multipleFieldFilters="0" chartFormat="8">
  <location ref="N8:AA20" firstHeaderRow="1" firstDataRow="2" firstDataCol="1"/>
  <pivotFields count="21">
    <pivotField showAll="0"/>
    <pivotField showAll="0"/>
    <pivotField showAll="0">
      <items count="10">
        <item x="5"/>
        <item m="1" x="7"/>
        <item x="2"/>
        <item x="4"/>
        <item x="3"/>
        <item m="1" x="8"/>
        <item x="1"/>
        <item x="0"/>
        <item x="6"/>
        <item t="default"/>
      </items>
    </pivotField>
    <pivotField showAll="0">
      <items count="31">
        <item x="0"/>
        <item x="1"/>
        <item x="3"/>
        <item x="2"/>
        <item x="4"/>
        <item x="5"/>
        <item x="6"/>
        <item x="7"/>
        <item x="8"/>
        <item x="9"/>
        <item x="10"/>
        <item x="11"/>
        <item x="12"/>
        <item x="13"/>
        <item x="14"/>
        <item x="15"/>
        <item x="16"/>
        <item x="17"/>
        <item x="18"/>
        <item x="19"/>
        <item x="20"/>
        <item x="21"/>
        <item x="22"/>
        <item x="23"/>
        <item x="24"/>
        <item x="25"/>
        <item x="26"/>
        <item x="27"/>
        <item x="28"/>
        <item x="29"/>
        <item t="default"/>
      </items>
    </pivotField>
    <pivotField axis="axisRow" showAll="0">
      <items count="17">
        <item x="7"/>
        <item x="3"/>
        <item x="5"/>
        <item x="4"/>
        <item x="6"/>
        <item x="8"/>
        <item x="2"/>
        <item x="1"/>
        <item x="0"/>
        <item m="1" x="11"/>
        <item m="1" x="13"/>
        <item m="1" x="10"/>
        <item m="1" x="15"/>
        <item m="1" x="14"/>
        <item m="1" x="12"/>
        <item x="9"/>
        <item t="default"/>
      </items>
    </pivotField>
    <pivotField showAll="0"/>
    <pivotField showAll="0"/>
    <pivotField axis="axisCol" dataField="1" showAll="0">
      <items count="14">
        <item x="5"/>
        <item x="3"/>
        <item x="2"/>
        <item x="7"/>
        <item x="6"/>
        <item x="4"/>
        <item x="1"/>
        <item x="9"/>
        <item x="10"/>
        <item m="1" x="12"/>
        <item x="0"/>
        <item x="8"/>
        <item x="11"/>
        <item t="default"/>
      </items>
    </pivotField>
    <pivotField showAll="0"/>
    <pivotField showAll="0">
      <items count="49">
        <item x="14"/>
        <item x="46"/>
        <item x="18"/>
        <item x="22"/>
        <item x="10"/>
        <item x="19"/>
        <item x="17"/>
        <item x="27"/>
        <item x="35"/>
        <item x="28"/>
        <item x="20"/>
        <item x="38"/>
        <item x="26"/>
        <item x="32"/>
        <item x="33"/>
        <item x="31"/>
        <item x="12"/>
        <item x="25"/>
        <item x="16"/>
        <item x="42"/>
        <item x="44"/>
        <item x="34"/>
        <item x="1"/>
        <item x="15"/>
        <item x="5"/>
        <item x="7"/>
        <item x="39"/>
        <item x="2"/>
        <item x="6"/>
        <item x="21"/>
        <item x="8"/>
        <item x="41"/>
        <item x="9"/>
        <item x="45"/>
        <item x="11"/>
        <item x="3"/>
        <item x="0"/>
        <item x="40"/>
        <item x="30"/>
        <item x="13"/>
        <item x="43"/>
        <item x="4"/>
        <item x="36"/>
        <item x="24"/>
        <item x="29"/>
        <item x="23"/>
        <item x="37"/>
        <item x="47"/>
        <item t="default"/>
      </items>
    </pivotField>
    <pivotField showAll="0"/>
    <pivotField showAll="0"/>
    <pivotField showAll="0"/>
    <pivotField showAll="0"/>
    <pivotField showAll="0"/>
    <pivotField showAll="0">
      <items count="20">
        <item x="17"/>
        <item x="11"/>
        <item x="15"/>
        <item x="9"/>
        <item x="0"/>
        <item x="8"/>
        <item x="7"/>
        <item x="5"/>
        <item x="18"/>
        <item x="1"/>
        <item x="14"/>
        <item x="16"/>
        <item x="6"/>
        <item x="3"/>
        <item x="2"/>
        <item x="10"/>
        <item x="12"/>
        <item x="4"/>
        <item x="13"/>
        <item t="default"/>
      </items>
    </pivotField>
    <pivotField showAll="0"/>
    <pivotField showAll="0"/>
    <pivotField showAll="0"/>
    <pivotField showAll="0"/>
    <pivotField showAll="0"/>
  </pivotFields>
  <rowFields count="1">
    <field x="4"/>
  </rowFields>
  <rowItems count="11">
    <i>
      <x/>
    </i>
    <i>
      <x v="1"/>
    </i>
    <i>
      <x v="2"/>
    </i>
    <i>
      <x v="3"/>
    </i>
    <i>
      <x v="4"/>
    </i>
    <i>
      <x v="5"/>
    </i>
    <i>
      <x v="6"/>
    </i>
    <i>
      <x v="7"/>
    </i>
    <i>
      <x v="8"/>
    </i>
    <i>
      <x v="15"/>
    </i>
    <i t="grand">
      <x/>
    </i>
  </rowItems>
  <colFields count="1">
    <field x="7"/>
  </colFields>
  <colItems count="13">
    <i>
      <x/>
    </i>
    <i>
      <x v="1"/>
    </i>
    <i>
      <x v="2"/>
    </i>
    <i>
      <x v="3"/>
    </i>
    <i>
      <x v="4"/>
    </i>
    <i>
      <x v="5"/>
    </i>
    <i>
      <x v="6"/>
    </i>
    <i>
      <x v="7"/>
    </i>
    <i>
      <x v="8"/>
    </i>
    <i>
      <x v="10"/>
    </i>
    <i>
      <x v="11"/>
    </i>
    <i>
      <x v="12"/>
    </i>
    <i t="grand">
      <x/>
    </i>
  </colItems>
  <dataFields count="1">
    <dataField name="Count of Source" fld="7" subtotal="count" baseField="0" baseItem="0"/>
  </dataFields>
  <chartFormats count="37">
    <chartFormat chart="1" format="0" series="1">
      <pivotArea type="data" outline="0" fieldPosition="0">
        <references count="1">
          <reference field="7" count="1" selected="0">
            <x v="0"/>
          </reference>
        </references>
      </pivotArea>
    </chartFormat>
    <chartFormat chart="1" format="1" series="1">
      <pivotArea type="data" outline="0" fieldPosition="0">
        <references count="1">
          <reference field="7" count="1" selected="0">
            <x v="1"/>
          </reference>
        </references>
      </pivotArea>
    </chartFormat>
    <chartFormat chart="1" format="2" series="1">
      <pivotArea type="data" outline="0" fieldPosition="0">
        <references count="1">
          <reference field="7" count="1" selected="0">
            <x v="2"/>
          </reference>
        </references>
      </pivotArea>
    </chartFormat>
    <chartFormat chart="1" format="3" series="1">
      <pivotArea type="data" outline="0" fieldPosition="0">
        <references count="1">
          <reference field="7" count="1" selected="0">
            <x v="3"/>
          </reference>
        </references>
      </pivotArea>
    </chartFormat>
    <chartFormat chart="1" format="4" series="1">
      <pivotArea type="data" outline="0" fieldPosition="0">
        <references count="1">
          <reference field="7" count="1" selected="0">
            <x v="4"/>
          </reference>
        </references>
      </pivotArea>
    </chartFormat>
    <chartFormat chart="1" format="5" series="1">
      <pivotArea type="data" outline="0" fieldPosition="0">
        <references count="1">
          <reference field="7" count="1" selected="0">
            <x v="5"/>
          </reference>
        </references>
      </pivotArea>
    </chartFormat>
    <chartFormat chart="1" format="6" series="1">
      <pivotArea type="data" outline="0" fieldPosition="0">
        <references count="1">
          <reference field="7" count="1" selected="0">
            <x v="6"/>
          </reference>
        </references>
      </pivotArea>
    </chartFormat>
    <chartFormat chart="1" format="7" series="1">
      <pivotArea type="data" outline="0" fieldPosition="0">
        <references count="1">
          <reference field="7" count="1" selected="0">
            <x v="7"/>
          </reference>
        </references>
      </pivotArea>
    </chartFormat>
    <chartFormat chart="1" format="8" series="1">
      <pivotArea type="data" outline="0" fieldPosition="0">
        <references count="1">
          <reference field="7" count="1" selected="0">
            <x v="8"/>
          </reference>
        </references>
      </pivotArea>
    </chartFormat>
    <chartFormat chart="1" format="9" series="1">
      <pivotArea type="data" outline="0" fieldPosition="0">
        <references count="1">
          <reference field="7" count="1" selected="0">
            <x v="10"/>
          </reference>
        </references>
      </pivotArea>
    </chartFormat>
    <chartFormat chart="1" format="10" series="1">
      <pivotArea type="data" outline="0" fieldPosition="0">
        <references count="1">
          <reference field="7" count="1" selected="0">
            <x v="11"/>
          </reference>
        </references>
      </pivotArea>
    </chartFormat>
    <chartFormat chart="1" format="11" series="1">
      <pivotArea type="data" outline="0" fieldPosition="0">
        <references count="1">
          <reference field="4294967294" count="1" selected="0">
            <x v="0"/>
          </reference>
        </references>
      </pivotArea>
    </chartFormat>
    <chartFormat chart="7" format="47" series="1">
      <pivotArea type="data" outline="0" fieldPosition="0">
        <references count="2">
          <reference field="4294967294" count="1" selected="0">
            <x v="0"/>
          </reference>
          <reference field="7" count="1" selected="0">
            <x v="0"/>
          </reference>
        </references>
      </pivotArea>
    </chartFormat>
    <chartFormat chart="7" format="48" series="1">
      <pivotArea type="data" outline="0" fieldPosition="0">
        <references count="2">
          <reference field="4294967294" count="1" selected="0">
            <x v="0"/>
          </reference>
          <reference field="7" count="1" selected="0">
            <x v="1"/>
          </reference>
        </references>
      </pivotArea>
    </chartFormat>
    <chartFormat chart="7" format="49" series="1">
      <pivotArea type="data" outline="0" fieldPosition="0">
        <references count="2">
          <reference field="4294967294" count="1" selected="0">
            <x v="0"/>
          </reference>
          <reference field="7" count="1" selected="0">
            <x v="2"/>
          </reference>
        </references>
      </pivotArea>
    </chartFormat>
    <chartFormat chart="7" format="50" series="1">
      <pivotArea type="data" outline="0" fieldPosition="0">
        <references count="2">
          <reference field="4294967294" count="1" selected="0">
            <x v="0"/>
          </reference>
          <reference field="7" count="1" selected="0">
            <x v="3"/>
          </reference>
        </references>
      </pivotArea>
    </chartFormat>
    <chartFormat chart="7" format="51" series="1">
      <pivotArea type="data" outline="0" fieldPosition="0">
        <references count="2">
          <reference field="4294967294" count="1" selected="0">
            <x v="0"/>
          </reference>
          <reference field="7" count="1" selected="0">
            <x v="4"/>
          </reference>
        </references>
      </pivotArea>
    </chartFormat>
    <chartFormat chart="7" format="52" series="1">
      <pivotArea type="data" outline="0" fieldPosition="0">
        <references count="2">
          <reference field="4294967294" count="1" selected="0">
            <x v="0"/>
          </reference>
          <reference field="7" count="1" selected="0">
            <x v="5"/>
          </reference>
        </references>
      </pivotArea>
    </chartFormat>
    <chartFormat chart="7" format="53" series="1">
      <pivotArea type="data" outline="0" fieldPosition="0">
        <references count="2">
          <reference field="4294967294" count="1" selected="0">
            <x v="0"/>
          </reference>
          <reference field="7" count="1" selected="0">
            <x v="6"/>
          </reference>
        </references>
      </pivotArea>
    </chartFormat>
    <chartFormat chart="7" format="54" series="1">
      <pivotArea type="data" outline="0" fieldPosition="0">
        <references count="2">
          <reference field="4294967294" count="1" selected="0">
            <x v="0"/>
          </reference>
          <reference field="7" count="1" selected="0">
            <x v="7"/>
          </reference>
        </references>
      </pivotArea>
    </chartFormat>
    <chartFormat chart="7" format="55" series="1">
      <pivotArea type="data" outline="0" fieldPosition="0">
        <references count="2">
          <reference field="4294967294" count="1" selected="0">
            <x v="0"/>
          </reference>
          <reference field="7" count="1" selected="0">
            <x v="8"/>
          </reference>
        </references>
      </pivotArea>
    </chartFormat>
    <chartFormat chart="7" format="56" series="1">
      <pivotArea type="data" outline="0" fieldPosition="0">
        <references count="2">
          <reference field="4294967294" count="1" selected="0">
            <x v="0"/>
          </reference>
          <reference field="7" count="1" selected="0">
            <x v="10"/>
          </reference>
        </references>
      </pivotArea>
    </chartFormat>
    <chartFormat chart="7" format="57" series="1">
      <pivotArea type="data" outline="0" fieldPosition="0">
        <references count="2">
          <reference field="4294967294" count="1" selected="0">
            <x v="0"/>
          </reference>
          <reference field="7" count="1" selected="0">
            <x v="11"/>
          </reference>
        </references>
      </pivotArea>
    </chartFormat>
    <chartFormat chart="7" format="58" series="1">
      <pivotArea type="data" outline="0" fieldPosition="0">
        <references count="2">
          <reference field="4294967294" count="1" selected="0">
            <x v="0"/>
          </reference>
          <reference field="7" count="1" selected="0">
            <x v="12"/>
          </reference>
        </references>
      </pivotArea>
    </chartFormat>
    <chartFormat chart="7" format="59" series="1">
      <pivotArea type="data" outline="0" fieldPosition="0">
        <references count="1">
          <reference field="4294967294" count="1" selected="0">
            <x v="0"/>
          </reference>
        </references>
      </pivotArea>
    </chartFormat>
    <chartFormat chart="1" format="12" series="1">
      <pivotArea type="data" outline="0" fieldPosition="0">
        <references count="2">
          <reference field="4294967294" count="1" selected="0">
            <x v="0"/>
          </reference>
          <reference field="7" count="1" selected="0">
            <x v="0"/>
          </reference>
        </references>
      </pivotArea>
    </chartFormat>
    <chartFormat chart="1" format="13" series="1">
      <pivotArea type="data" outline="0" fieldPosition="0">
        <references count="2">
          <reference field="4294967294" count="1" selected="0">
            <x v="0"/>
          </reference>
          <reference field="7" count="1" selected="0">
            <x v="1"/>
          </reference>
        </references>
      </pivotArea>
    </chartFormat>
    <chartFormat chart="1" format="14" series="1">
      <pivotArea type="data" outline="0" fieldPosition="0">
        <references count="2">
          <reference field="4294967294" count="1" selected="0">
            <x v="0"/>
          </reference>
          <reference field="7" count="1" selected="0">
            <x v="2"/>
          </reference>
        </references>
      </pivotArea>
    </chartFormat>
    <chartFormat chart="1" format="15" series="1">
      <pivotArea type="data" outline="0" fieldPosition="0">
        <references count="2">
          <reference field="4294967294" count="1" selected="0">
            <x v="0"/>
          </reference>
          <reference field="7" count="1" selected="0">
            <x v="3"/>
          </reference>
        </references>
      </pivotArea>
    </chartFormat>
    <chartFormat chart="1" format="16" series="1">
      <pivotArea type="data" outline="0" fieldPosition="0">
        <references count="2">
          <reference field="4294967294" count="1" selected="0">
            <x v="0"/>
          </reference>
          <reference field="7" count="1" selected="0">
            <x v="4"/>
          </reference>
        </references>
      </pivotArea>
    </chartFormat>
    <chartFormat chart="1" format="17" series="1">
      <pivotArea type="data" outline="0" fieldPosition="0">
        <references count="2">
          <reference field="4294967294" count="1" selected="0">
            <x v="0"/>
          </reference>
          <reference field="7" count="1" selected="0">
            <x v="5"/>
          </reference>
        </references>
      </pivotArea>
    </chartFormat>
    <chartFormat chart="1" format="18" series="1">
      <pivotArea type="data" outline="0" fieldPosition="0">
        <references count="2">
          <reference field="4294967294" count="1" selected="0">
            <x v="0"/>
          </reference>
          <reference field="7" count="1" selected="0">
            <x v="6"/>
          </reference>
        </references>
      </pivotArea>
    </chartFormat>
    <chartFormat chart="1" format="19" series="1">
      <pivotArea type="data" outline="0" fieldPosition="0">
        <references count="2">
          <reference field="4294967294" count="1" selected="0">
            <x v="0"/>
          </reference>
          <reference field="7" count="1" selected="0">
            <x v="7"/>
          </reference>
        </references>
      </pivotArea>
    </chartFormat>
    <chartFormat chart="1" format="20" series="1">
      <pivotArea type="data" outline="0" fieldPosition="0">
        <references count="2">
          <reference field="4294967294" count="1" selected="0">
            <x v="0"/>
          </reference>
          <reference field="7" count="1" selected="0">
            <x v="8"/>
          </reference>
        </references>
      </pivotArea>
    </chartFormat>
    <chartFormat chart="1" format="21" series="1">
      <pivotArea type="data" outline="0" fieldPosition="0">
        <references count="2">
          <reference field="4294967294" count="1" selected="0">
            <x v="0"/>
          </reference>
          <reference field="7" count="1" selected="0">
            <x v="10"/>
          </reference>
        </references>
      </pivotArea>
    </chartFormat>
    <chartFormat chart="1" format="22" series="1">
      <pivotArea type="data" outline="0" fieldPosition="0">
        <references count="2">
          <reference field="4294967294" count="1" selected="0">
            <x v="0"/>
          </reference>
          <reference field="7" count="1" selected="0">
            <x v="11"/>
          </reference>
        </references>
      </pivotArea>
    </chartFormat>
    <chartFormat chart="1" format="23" series="1">
      <pivotArea type="data" outline="0" fieldPosition="0">
        <references count="2">
          <reference field="4294967294" count="1" selected="0">
            <x v="0"/>
          </reference>
          <reference field="7"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 cacheId="42" applyNumberFormats="0" applyBorderFormats="0" applyFontFormats="0" applyPatternFormats="0" applyAlignmentFormats="0" applyWidthHeightFormats="1" dataCaption="Values" updatedVersion="8" minRefreshableVersion="5" useAutoFormatting="1" itemPrintTitles="1" createdVersion="5" indent="0" outline="1" outlineData="1" multipleFieldFilters="0" chartFormat="12">
  <location ref="A3:I15" firstHeaderRow="1" firstDataRow="2" firstDataCol="1"/>
  <pivotFields count="21">
    <pivotField showAll="0"/>
    <pivotField showAll="0"/>
    <pivotField axis="axisCol" dataField="1" showAll="0">
      <items count="10">
        <item x="5"/>
        <item m="1" x="7"/>
        <item x="2"/>
        <item x="4"/>
        <item x="3"/>
        <item m="1" x="8"/>
        <item x="1"/>
        <item x="0"/>
        <item x="6"/>
        <item t="default"/>
      </items>
    </pivotField>
    <pivotField showAll="0">
      <items count="31">
        <item x="0"/>
        <item x="1"/>
        <item x="3"/>
        <item x="2"/>
        <item x="4"/>
        <item x="5"/>
        <item x="6"/>
        <item x="7"/>
        <item x="8"/>
        <item x="9"/>
        <item x="10"/>
        <item x="11"/>
        <item x="12"/>
        <item x="13"/>
        <item x="14"/>
        <item x="15"/>
        <item x="16"/>
        <item x="17"/>
        <item x="18"/>
        <item x="19"/>
        <item x="20"/>
        <item x="21"/>
        <item x="22"/>
        <item x="23"/>
        <item x="24"/>
        <item x="25"/>
        <item x="26"/>
        <item x="27"/>
        <item x="28"/>
        <item x="29"/>
        <item t="default"/>
      </items>
    </pivotField>
    <pivotField axis="axisRow" showAll="0">
      <items count="17">
        <item x="7"/>
        <item x="3"/>
        <item x="5"/>
        <item x="4"/>
        <item x="6"/>
        <item x="8"/>
        <item x="2"/>
        <item x="1"/>
        <item x="0"/>
        <item m="1" x="11"/>
        <item m="1" x="13"/>
        <item m="1" x="10"/>
        <item m="1" x="15"/>
        <item m="1" x="14"/>
        <item m="1" x="12"/>
        <item x="9"/>
        <item t="default"/>
      </items>
    </pivotField>
    <pivotField showAll="0"/>
    <pivotField showAll="0"/>
    <pivotField showAll="0">
      <items count="14">
        <item x="5"/>
        <item x="3"/>
        <item x="2"/>
        <item x="7"/>
        <item x="6"/>
        <item x="4"/>
        <item x="1"/>
        <item x="9"/>
        <item x="10"/>
        <item m="1" x="12"/>
        <item x="0"/>
        <item x="8"/>
        <item x="11"/>
        <item t="default"/>
      </items>
    </pivotField>
    <pivotField showAll="0"/>
    <pivotField showAll="0">
      <items count="49">
        <item x="14"/>
        <item x="46"/>
        <item x="18"/>
        <item x="22"/>
        <item x="10"/>
        <item x="19"/>
        <item x="17"/>
        <item x="27"/>
        <item x="35"/>
        <item x="28"/>
        <item x="20"/>
        <item x="38"/>
        <item x="26"/>
        <item x="32"/>
        <item x="33"/>
        <item x="31"/>
        <item x="12"/>
        <item x="25"/>
        <item x="16"/>
        <item x="42"/>
        <item x="44"/>
        <item x="34"/>
        <item x="1"/>
        <item x="15"/>
        <item x="5"/>
        <item x="7"/>
        <item x="39"/>
        <item x="2"/>
        <item x="6"/>
        <item x="21"/>
        <item x="8"/>
        <item x="41"/>
        <item x="9"/>
        <item x="45"/>
        <item x="11"/>
        <item x="3"/>
        <item x="0"/>
        <item x="40"/>
        <item x="30"/>
        <item x="13"/>
        <item x="43"/>
        <item x="4"/>
        <item x="36"/>
        <item x="24"/>
        <item x="29"/>
        <item x="23"/>
        <item x="37"/>
        <item x="47"/>
        <item t="default"/>
      </items>
    </pivotField>
    <pivotField showAll="0"/>
    <pivotField showAll="0"/>
    <pivotField showAll="0"/>
    <pivotField showAll="0"/>
    <pivotField showAll="0"/>
    <pivotField showAll="0">
      <items count="20">
        <item x="17"/>
        <item x="11"/>
        <item x="15"/>
        <item x="9"/>
        <item x="0"/>
        <item x="8"/>
        <item x="7"/>
        <item x="5"/>
        <item x="18"/>
        <item x="1"/>
        <item x="14"/>
        <item x="16"/>
        <item x="6"/>
        <item x="3"/>
        <item x="2"/>
        <item x="10"/>
        <item x="12"/>
        <item x="4"/>
        <item x="13"/>
        <item t="default"/>
      </items>
    </pivotField>
    <pivotField showAll="0"/>
    <pivotField showAll="0"/>
    <pivotField showAll="0"/>
    <pivotField showAll="0"/>
    <pivotField showAll="0"/>
  </pivotFields>
  <rowFields count="1">
    <field x="4"/>
  </rowFields>
  <rowItems count="11">
    <i>
      <x/>
    </i>
    <i>
      <x v="1"/>
    </i>
    <i>
      <x v="2"/>
    </i>
    <i>
      <x v="3"/>
    </i>
    <i>
      <x v="4"/>
    </i>
    <i>
      <x v="5"/>
    </i>
    <i>
      <x v="6"/>
    </i>
    <i>
      <x v="7"/>
    </i>
    <i>
      <x v="8"/>
    </i>
    <i>
      <x v="15"/>
    </i>
    <i t="grand">
      <x/>
    </i>
  </rowItems>
  <colFields count="1">
    <field x="2"/>
  </colFields>
  <colItems count="8">
    <i>
      <x/>
    </i>
    <i>
      <x v="2"/>
    </i>
    <i>
      <x v="3"/>
    </i>
    <i>
      <x v="4"/>
    </i>
    <i>
      <x v="6"/>
    </i>
    <i>
      <x v="7"/>
    </i>
    <i>
      <x v="8"/>
    </i>
    <i t="grand">
      <x/>
    </i>
  </colItems>
  <dataFields count="1">
    <dataField name="Count of Active/Inactive" fld="2" subtotal="count" baseField="0" baseItem="0"/>
  </dataFields>
  <chartFormats count="26">
    <chartFormat chart="0" format="11" series="1">
      <pivotArea type="data" outline="0" fieldPosition="0">
        <references count="1">
          <reference field="2" count="1" selected="0">
            <x v="0"/>
          </reference>
        </references>
      </pivotArea>
    </chartFormat>
    <chartFormat chart="0" format="12" series="1">
      <pivotArea type="data" outline="0" fieldPosition="0">
        <references count="1">
          <reference field="2" count="1" selected="0">
            <x v="2"/>
          </reference>
        </references>
      </pivotArea>
    </chartFormat>
    <chartFormat chart="0" format="13" series="1">
      <pivotArea type="data" outline="0" fieldPosition="0">
        <references count="1">
          <reference field="2" count="1" selected="0">
            <x v="3"/>
          </reference>
        </references>
      </pivotArea>
    </chartFormat>
    <chartFormat chart="0" format="14" series="1">
      <pivotArea type="data" outline="0" fieldPosition="0">
        <references count="1">
          <reference field="2" count="1" selected="0">
            <x v="4"/>
          </reference>
        </references>
      </pivotArea>
    </chartFormat>
    <chartFormat chart="0" format="15" series="1">
      <pivotArea type="data" outline="0" fieldPosition="0">
        <references count="1">
          <reference field="2" count="1" selected="0">
            <x v="5"/>
          </reference>
        </references>
      </pivotArea>
    </chartFormat>
    <chartFormat chart="0" format="16" series="1">
      <pivotArea type="data" outline="0" fieldPosition="0">
        <references count="1">
          <reference field="2" count="1" selected="0">
            <x v="6"/>
          </reference>
        </references>
      </pivotArea>
    </chartFormat>
    <chartFormat chart="0" format="17" series="1">
      <pivotArea type="data" outline="0" fieldPosition="0">
        <references count="1">
          <reference field="2" count="1" selected="0">
            <x v="7"/>
          </reference>
        </references>
      </pivotArea>
    </chartFormat>
    <chartFormat chart="0" format="18" series="1">
      <pivotArea type="data" outline="0" fieldPosition="0">
        <references count="1">
          <reference field="2" count="1" selected="0">
            <x v="8"/>
          </reference>
        </references>
      </pivotArea>
    </chartFormat>
    <chartFormat chart="0" format="19" series="1">
      <pivotArea type="data" outline="0" fieldPosition="0">
        <references count="1">
          <reference field="4294967294" count="1" selected="0">
            <x v="0"/>
          </reference>
        </references>
      </pivotArea>
    </chartFormat>
    <chartFormat chart="11" format="44" series="1">
      <pivotArea type="data" outline="0" fieldPosition="0">
        <references count="2">
          <reference field="4294967294" count="1" selected="0">
            <x v="0"/>
          </reference>
          <reference field="2" count="1" selected="0">
            <x v="0"/>
          </reference>
        </references>
      </pivotArea>
    </chartFormat>
    <chartFormat chart="11" format="45" series="1">
      <pivotArea type="data" outline="0" fieldPosition="0">
        <references count="2">
          <reference field="4294967294" count="1" selected="0">
            <x v="0"/>
          </reference>
          <reference field="2" count="1" selected="0">
            <x v="2"/>
          </reference>
        </references>
      </pivotArea>
    </chartFormat>
    <chartFormat chart="11" format="46" series="1">
      <pivotArea type="data" outline="0" fieldPosition="0">
        <references count="2">
          <reference field="4294967294" count="1" selected="0">
            <x v="0"/>
          </reference>
          <reference field="2" count="1" selected="0">
            <x v="3"/>
          </reference>
        </references>
      </pivotArea>
    </chartFormat>
    <chartFormat chart="11" format="47" series="1">
      <pivotArea type="data" outline="0" fieldPosition="0">
        <references count="2">
          <reference field="4294967294" count="1" selected="0">
            <x v="0"/>
          </reference>
          <reference field="2" count="1" selected="0">
            <x v="4"/>
          </reference>
        </references>
      </pivotArea>
    </chartFormat>
    <chartFormat chart="11" format="48" series="1">
      <pivotArea type="data" outline="0" fieldPosition="0">
        <references count="2">
          <reference field="4294967294" count="1" selected="0">
            <x v="0"/>
          </reference>
          <reference field="2" count="1" selected="0">
            <x v="5"/>
          </reference>
        </references>
      </pivotArea>
    </chartFormat>
    <chartFormat chart="11" format="49" series="1">
      <pivotArea type="data" outline="0" fieldPosition="0">
        <references count="2">
          <reference field="4294967294" count="1" selected="0">
            <x v="0"/>
          </reference>
          <reference field="2" count="1" selected="0">
            <x v="6"/>
          </reference>
        </references>
      </pivotArea>
    </chartFormat>
    <chartFormat chart="11" format="50" series="1">
      <pivotArea type="data" outline="0" fieldPosition="0">
        <references count="2">
          <reference field="4294967294" count="1" selected="0">
            <x v="0"/>
          </reference>
          <reference field="2" count="1" selected="0">
            <x v="7"/>
          </reference>
        </references>
      </pivotArea>
    </chartFormat>
    <chartFormat chart="11" format="51" series="1">
      <pivotArea type="data" outline="0" fieldPosition="0">
        <references count="2">
          <reference field="4294967294" count="1" selected="0">
            <x v="0"/>
          </reference>
          <reference field="2" count="1" selected="0">
            <x v="8"/>
          </reference>
        </references>
      </pivotArea>
    </chartFormat>
    <chartFormat chart="11" format="52" series="1">
      <pivotArea type="data" outline="0" fieldPosition="0">
        <references count="1">
          <reference field="4294967294" count="1" selected="0">
            <x v="0"/>
          </reference>
        </references>
      </pivotArea>
    </chartFormat>
    <chartFormat chart="0" format="20" series="1">
      <pivotArea type="data" outline="0" fieldPosition="0">
        <references count="2">
          <reference field="4294967294" count="1" selected="0">
            <x v="0"/>
          </reference>
          <reference field="2" count="1" selected="0">
            <x v="0"/>
          </reference>
        </references>
      </pivotArea>
    </chartFormat>
    <chartFormat chart="0" format="21" series="1">
      <pivotArea type="data" outline="0" fieldPosition="0">
        <references count="2">
          <reference field="4294967294" count="1" selected="0">
            <x v="0"/>
          </reference>
          <reference field="2" count="1" selected="0">
            <x v="2"/>
          </reference>
        </references>
      </pivotArea>
    </chartFormat>
    <chartFormat chart="0" format="22" series="1">
      <pivotArea type="data" outline="0" fieldPosition="0">
        <references count="2">
          <reference field="4294967294" count="1" selected="0">
            <x v="0"/>
          </reference>
          <reference field="2" count="1" selected="0">
            <x v="3"/>
          </reference>
        </references>
      </pivotArea>
    </chartFormat>
    <chartFormat chart="0" format="23" series="1">
      <pivotArea type="data" outline="0" fieldPosition="0">
        <references count="2">
          <reference field="4294967294" count="1" selected="0">
            <x v="0"/>
          </reference>
          <reference field="2" count="1" selected="0">
            <x v="4"/>
          </reference>
        </references>
      </pivotArea>
    </chartFormat>
    <chartFormat chart="0" format="24" series="1">
      <pivotArea type="data" outline="0" fieldPosition="0">
        <references count="2">
          <reference field="4294967294" count="1" selected="0">
            <x v="0"/>
          </reference>
          <reference field="2" count="1" selected="0">
            <x v="5"/>
          </reference>
        </references>
      </pivotArea>
    </chartFormat>
    <chartFormat chart="0" format="25" series="1">
      <pivotArea type="data" outline="0" fieldPosition="0">
        <references count="2">
          <reference field="4294967294" count="1" selected="0">
            <x v="0"/>
          </reference>
          <reference field="2" count="1" selected="0">
            <x v="6"/>
          </reference>
        </references>
      </pivotArea>
    </chartFormat>
    <chartFormat chart="0" format="26" series="1">
      <pivotArea type="data" outline="0" fieldPosition="0">
        <references count="2">
          <reference field="4294967294" count="1" selected="0">
            <x v="0"/>
          </reference>
          <reference field="2" count="1" selected="0">
            <x v="7"/>
          </reference>
        </references>
      </pivotArea>
    </chartFormat>
    <chartFormat chart="0" format="27" series="1">
      <pivotArea type="data" outline="0" fieldPosition="0">
        <references count="2">
          <reference field="4294967294" count="1" selected="0">
            <x v="0"/>
          </reference>
          <reference field="2"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200-000005000000}" name="PivotTable7" cacheId="42" applyNumberFormats="0" applyBorderFormats="0" applyFontFormats="0" applyPatternFormats="0" applyAlignmentFormats="0" applyWidthHeightFormats="1" dataCaption="Values" updatedVersion="8" minRefreshableVersion="5" useAutoFormatting="1" itemPrintTitles="1" createdVersion="5" indent="0" outline="1" outlineData="1" multipleFieldFilters="0" chartFormat="9">
  <location ref="AU8:AV28" firstHeaderRow="1" firstDataRow="1" firstDataCol="1"/>
  <pivotFields count="21">
    <pivotField showAll="0"/>
    <pivotField showAll="0"/>
    <pivotField showAll="0">
      <items count="10">
        <item x="5"/>
        <item m="1" x="7"/>
        <item x="2"/>
        <item x="4"/>
        <item x="3"/>
        <item m="1" x="8"/>
        <item x="1"/>
        <item x="0"/>
        <item x="6"/>
        <item t="default"/>
      </items>
    </pivotField>
    <pivotField showAll="0">
      <items count="31">
        <item x="0"/>
        <item x="1"/>
        <item x="3"/>
        <item x="2"/>
        <item x="4"/>
        <item x="5"/>
        <item x="6"/>
        <item x="7"/>
        <item x="8"/>
        <item x="9"/>
        <item x="10"/>
        <item x="11"/>
        <item x="12"/>
        <item x="13"/>
        <item x="14"/>
        <item x="15"/>
        <item x="16"/>
        <item x="17"/>
        <item x="18"/>
        <item x="19"/>
        <item x="20"/>
        <item x="21"/>
        <item x="22"/>
        <item x="23"/>
        <item x="24"/>
        <item x="25"/>
        <item x="26"/>
        <item x="27"/>
        <item x="28"/>
        <item x="29"/>
        <item t="default"/>
      </items>
    </pivotField>
    <pivotField showAll="0">
      <items count="17">
        <item x="7"/>
        <item x="3"/>
        <item x="5"/>
        <item x="4"/>
        <item x="6"/>
        <item x="8"/>
        <item x="2"/>
        <item x="1"/>
        <item x="0"/>
        <item m="1" x="11"/>
        <item m="1" x="13"/>
        <item m="1" x="10"/>
        <item m="1" x="15"/>
        <item m="1" x="14"/>
        <item m="1" x="12"/>
        <item x="9"/>
        <item t="default"/>
      </items>
    </pivotField>
    <pivotField showAll="0"/>
    <pivotField showAll="0"/>
    <pivotField showAll="0">
      <items count="14">
        <item x="5"/>
        <item x="3"/>
        <item x="2"/>
        <item x="7"/>
        <item x="6"/>
        <item x="4"/>
        <item x="1"/>
        <item x="9"/>
        <item x="10"/>
        <item m="1" x="12"/>
        <item x="0"/>
        <item x="8"/>
        <item x="11"/>
        <item t="default"/>
      </items>
    </pivotField>
    <pivotField showAll="0"/>
    <pivotField showAll="0">
      <items count="49">
        <item x="14"/>
        <item x="46"/>
        <item x="18"/>
        <item x="22"/>
        <item x="10"/>
        <item x="19"/>
        <item x="17"/>
        <item x="27"/>
        <item x="35"/>
        <item x="28"/>
        <item x="20"/>
        <item x="38"/>
        <item x="26"/>
        <item x="32"/>
        <item x="33"/>
        <item x="31"/>
        <item x="12"/>
        <item x="25"/>
        <item x="16"/>
        <item x="42"/>
        <item x="44"/>
        <item x="34"/>
        <item x="1"/>
        <item x="15"/>
        <item x="5"/>
        <item x="7"/>
        <item x="39"/>
        <item x="2"/>
        <item x="6"/>
        <item x="21"/>
        <item x="8"/>
        <item x="41"/>
        <item x="9"/>
        <item x="45"/>
        <item x="11"/>
        <item x="3"/>
        <item x="0"/>
        <item x="40"/>
        <item x="30"/>
        <item x="13"/>
        <item x="43"/>
        <item x="4"/>
        <item x="36"/>
        <item x="24"/>
        <item x="29"/>
        <item x="23"/>
        <item x="37"/>
        <item x="47"/>
        <item t="default"/>
      </items>
    </pivotField>
    <pivotField showAll="0"/>
    <pivotField showAll="0"/>
    <pivotField showAll="0"/>
    <pivotField showAll="0"/>
    <pivotField showAll="0"/>
    <pivotField axis="axisRow" dataField="1" showAll="0">
      <items count="20">
        <item x="17"/>
        <item x="11"/>
        <item x="15"/>
        <item x="9"/>
        <item x="0"/>
        <item x="8"/>
        <item x="7"/>
        <item x="5"/>
        <item x="18"/>
        <item x="1"/>
        <item x="14"/>
        <item x="16"/>
        <item x="6"/>
        <item x="3"/>
        <item x="2"/>
        <item x="10"/>
        <item x="12"/>
        <item x="4"/>
        <item x="13"/>
        <item t="default"/>
      </items>
    </pivotField>
    <pivotField showAll="0"/>
    <pivotField showAll="0"/>
    <pivotField showAll="0"/>
    <pivotField showAll="0"/>
    <pivotField showAll="0"/>
  </pivotFields>
  <rowFields count="1">
    <field x="15"/>
  </rowFields>
  <rowItems count="20">
    <i>
      <x/>
    </i>
    <i>
      <x v="1"/>
    </i>
    <i>
      <x v="2"/>
    </i>
    <i>
      <x v="3"/>
    </i>
    <i>
      <x v="4"/>
    </i>
    <i>
      <x v="5"/>
    </i>
    <i>
      <x v="6"/>
    </i>
    <i>
      <x v="7"/>
    </i>
    <i>
      <x v="8"/>
    </i>
    <i>
      <x v="9"/>
    </i>
    <i>
      <x v="10"/>
    </i>
    <i>
      <x v="11"/>
    </i>
    <i>
      <x v="12"/>
    </i>
    <i>
      <x v="13"/>
    </i>
    <i>
      <x v="14"/>
    </i>
    <i>
      <x v="15"/>
    </i>
    <i>
      <x v="16"/>
    </i>
    <i>
      <x v="17"/>
    </i>
    <i>
      <x v="18"/>
    </i>
    <i t="grand">
      <x/>
    </i>
  </rowItems>
  <colItems count="1">
    <i/>
  </colItems>
  <dataFields count="1">
    <dataField name="Count of Primary reason of disqualification" fld="15" subtotal="count" baseField="0" baseItem="0"/>
  </dataFields>
  <chartFormats count="2">
    <chartFormat chart="0" format="0"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200-000004000000}" name="PivotTable6" cacheId="42" applyNumberFormats="0" applyBorderFormats="0" applyFontFormats="0" applyPatternFormats="0" applyAlignmentFormats="0" applyWidthHeightFormats="1" dataCaption="Values" updatedVersion="8" minRefreshableVersion="5" useAutoFormatting="1" itemPrintTitles="1" createdVersion="5" indent="0" outline="1" outlineData="1" multipleFieldFilters="0" chartFormat="1">
  <location ref="AO11:AO24" firstHeaderRow="1" firstDataRow="1" firstDataCol="1"/>
  <pivotFields count="21">
    <pivotField showAll="0"/>
    <pivotField showAll="0"/>
    <pivotField showAll="0">
      <items count="10">
        <item x="5"/>
        <item m="1" x="7"/>
        <item x="2"/>
        <item x="4"/>
        <item x="3"/>
        <item m="1" x="8"/>
        <item x="1"/>
        <item x="0"/>
        <item x="6"/>
        <item t="default"/>
      </items>
    </pivotField>
    <pivotField showAll="0">
      <items count="31">
        <item x="0"/>
        <item x="1"/>
        <item x="3"/>
        <item x="2"/>
        <item x="4"/>
        <item x="5"/>
        <item x="6"/>
        <item x="7"/>
        <item x="8"/>
        <item x="9"/>
        <item x="10"/>
        <item x="11"/>
        <item x="12"/>
        <item x="13"/>
        <item x="14"/>
        <item x="15"/>
        <item x="16"/>
        <item x="17"/>
        <item x="18"/>
        <item x="19"/>
        <item x="20"/>
        <item x="21"/>
        <item x="22"/>
        <item x="23"/>
        <item x="24"/>
        <item x="25"/>
        <item x="26"/>
        <item x="27"/>
        <item x="28"/>
        <item x="29"/>
        <item t="default"/>
      </items>
    </pivotField>
    <pivotField showAll="0">
      <items count="17">
        <item x="7"/>
        <item x="3"/>
        <item x="5"/>
        <item x="4"/>
        <item x="6"/>
        <item x="8"/>
        <item x="2"/>
        <item x="1"/>
        <item x="0"/>
        <item m="1" x="11"/>
        <item m="1" x="13"/>
        <item m="1" x="10"/>
        <item m="1" x="15"/>
        <item m="1" x="14"/>
        <item m="1" x="12"/>
        <item x="9"/>
        <item t="default"/>
      </items>
    </pivotField>
    <pivotField showAll="0"/>
    <pivotField showAll="0"/>
    <pivotField axis="axisRow" showAll="0">
      <items count="14">
        <item x="5"/>
        <item x="3"/>
        <item x="2"/>
        <item x="7"/>
        <item x="6"/>
        <item x="4"/>
        <item x="1"/>
        <item x="9"/>
        <item x="10"/>
        <item m="1" x="12"/>
        <item x="0"/>
        <item x="8"/>
        <item x="11"/>
        <item t="default"/>
      </items>
    </pivotField>
    <pivotField showAll="0"/>
    <pivotField showAll="0">
      <items count="49">
        <item x="14"/>
        <item x="46"/>
        <item x="18"/>
        <item x="22"/>
        <item x="10"/>
        <item x="19"/>
        <item x="17"/>
        <item x="27"/>
        <item x="35"/>
        <item x="28"/>
        <item x="20"/>
        <item x="38"/>
        <item x="26"/>
        <item x="32"/>
        <item x="33"/>
        <item x="31"/>
        <item x="12"/>
        <item x="25"/>
        <item x="16"/>
        <item x="42"/>
        <item x="44"/>
        <item x="34"/>
        <item x="1"/>
        <item x="15"/>
        <item x="5"/>
        <item x="7"/>
        <item x="39"/>
        <item x="2"/>
        <item x="6"/>
        <item x="21"/>
        <item x="8"/>
        <item x="41"/>
        <item x="9"/>
        <item x="45"/>
        <item x="11"/>
        <item x="3"/>
        <item x="0"/>
        <item x="40"/>
        <item x="30"/>
        <item x="13"/>
        <item x="43"/>
        <item x="4"/>
        <item x="36"/>
        <item x="24"/>
        <item x="29"/>
        <item x="23"/>
        <item x="37"/>
        <item x="47"/>
        <item t="default"/>
      </items>
    </pivotField>
    <pivotField showAll="0"/>
    <pivotField showAll="0"/>
    <pivotField showAll="0"/>
    <pivotField showAll="0"/>
    <pivotField showAll="0"/>
    <pivotField showAll="0">
      <items count="20">
        <item x="17"/>
        <item x="11"/>
        <item x="15"/>
        <item x="9"/>
        <item x="0"/>
        <item x="8"/>
        <item x="7"/>
        <item x="5"/>
        <item x="18"/>
        <item x="1"/>
        <item x="14"/>
        <item x="16"/>
        <item x="6"/>
        <item x="3"/>
        <item x="2"/>
        <item x="10"/>
        <item x="12"/>
        <item x="4"/>
        <item x="13"/>
        <item t="default"/>
      </items>
    </pivotField>
    <pivotField showAll="0"/>
    <pivotField showAll="0"/>
    <pivotField showAll="0"/>
    <pivotField showAll="0"/>
    <pivotField showAll="0"/>
  </pivotFields>
  <rowFields count="1">
    <field x="7"/>
  </rowFields>
  <rowItems count="13">
    <i>
      <x/>
    </i>
    <i>
      <x v="1"/>
    </i>
    <i>
      <x v="2"/>
    </i>
    <i>
      <x v="3"/>
    </i>
    <i>
      <x v="4"/>
    </i>
    <i>
      <x v="5"/>
    </i>
    <i>
      <x v="6"/>
    </i>
    <i>
      <x v="7"/>
    </i>
    <i>
      <x v="8"/>
    </i>
    <i>
      <x v="10"/>
    </i>
    <i>
      <x v="11"/>
    </i>
    <i>
      <x v="12"/>
    </i>
    <i t="grand">
      <x/>
    </i>
  </rowItems>
  <colItems count="1">
    <i/>
  </colItems>
  <pivotTableStyleInfo name="PivotStyleLight16" showRowHeaders="1" showColHeaders="1" showRowStripes="0" showColStripes="0" showLastColumn="1"/>
  <filters count="1">
    <filter fld="6" type="captionEqual" evalOrder="-1" id="1" stringValue1="Yes">
      <autoFilter ref="A1">
        <filterColumn colId="0">
          <filters>
            <filter val="Yes"/>
          </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200-000003000000}" name="PivotTable5" cacheId="42" applyNumberFormats="0" applyBorderFormats="0" applyFontFormats="0" applyPatternFormats="0" applyAlignmentFormats="0" applyWidthHeightFormats="1" dataCaption="Values" updatedVersion="8" minRefreshableVersion="5" useAutoFormatting="1" itemPrintTitles="1" createdVersion="5" indent="0" outline="1" outlineData="1" multipleFieldFilters="0" chartFormat="15">
  <location ref="AJ26:AK39" firstHeaderRow="1" firstDataRow="1" firstDataCol="1"/>
  <pivotFields count="21">
    <pivotField showAll="0"/>
    <pivotField showAll="0"/>
    <pivotField showAll="0">
      <items count="10">
        <item x="5"/>
        <item m="1" x="7"/>
        <item x="2"/>
        <item x="4"/>
        <item x="3"/>
        <item m="1" x="8"/>
        <item x="1"/>
        <item x="0"/>
        <item x="6"/>
        <item t="default"/>
      </items>
    </pivotField>
    <pivotField showAll="0">
      <items count="31">
        <item x="0"/>
        <item x="1"/>
        <item x="3"/>
        <item x="2"/>
        <item x="4"/>
        <item x="5"/>
        <item x="6"/>
        <item x="7"/>
        <item x="8"/>
        <item x="9"/>
        <item x="10"/>
        <item x="11"/>
        <item x="12"/>
        <item x="13"/>
        <item x="14"/>
        <item x="15"/>
        <item x="16"/>
        <item x="17"/>
        <item x="18"/>
        <item x="19"/>
        <item x="20"/>
        <item x="21"/>
        <item x="22"/>
        <item x="23"/>
        <item x="24"/>
        <item x="25"/>
        <item x="26"/>
        <item x="27"/>
        <item x="28"/>
        <item x="29"/>
        <item t="default"/>
      </items>
    </pivotField>
    <pivotField showAll="0">
      <items count="17">
        <item x="7"/>
        <item x="3"/>
        <item x="5"/>
        <item x="4"/>
        <item x="6"/>
        <item x="8"/>
        <item x="2"/>
        <item x="1"/>
        <item x="0"/>
        <item m="1" x="11"/>
        <item m="1" x="13"/>
        <item m="1" x="10"/>
        <item m="1" x="15"/>
        <item m="1" x="14"/>
        <item m="1" x="12"/>
        <item x="9"/>
        <item t="default"/>
      </items>
    </pivotField>
    <pivotField showAll="0"/>
    <pivotField dataField="1" showAll="0"/>
    <pivotField axis="axisRow" showAll="0">
      <items count="14">
        <item x="5"/>
        <item x="3"/>
        <item x="2"/>
        <item x="7"/>
        <item x="6"/>
        <item x="4"/>
        <item x="1"/>
        <item x="9"/>
        <item x="10"/>
        <item m="1" x="12"/>
        <item x="0"/>
        <item x="8"/>
        <item x="11"/>
        <item t="default"/>
      </items>
    </pivotField>
    <pivotField showAll="0"/>
    <pivotField showAll="0">
      <items count="49">
        <item x="14"/>
        <item x="46"/>
        <item x="18"/>
        <item x="22"/>
        <item x="10"/>
        <item x="19"/>
        <item x="17"/>
        <item x="27"/>
        <item x="35"/>
        <item x="28"/>
        <item x="20"/>
        <item x="38"/>
        <item x="26"/>
        <item x="32"/>
        <item x="33"/>
        <item x="31"/>
        <item x="12"/>
        <item x="25"/>
        <item x="16"/>
        <item x="42"/>
        <item x="44"/>
        <item x="34"/>
        <item x="1"/>
        <item x="15"/>
        <item x="5"/>
        <item x="7"/>
        <item x="39"/>
        <item x="2"/>
        <item x="6"/>
        <item x="21"/>
        <item x="8"/>
        <item x="41"/>
        <item x="9"/>
        <item x="45"/>
        <item x="11"/>
        <item x="3"/>
        <item x="0"/>
        <item x="40"/>
        <item x="30"/>
        <item x="13"/>
        <item x="43"/>
        <item x="4"/>
        <item x="36"/>
        <item x="24"/>
        <item x="29"/>
        <item x="23"/>
        <item x="37"/>
        <item x="47"/>
        <item t="default"/>
      </items>
    </pivotField>
    <pivotField showAll="0"/>
    <pivotField showAll="0"/>
    <pivotField showAll="0"/>
    <pivotField showAll="0"/>
    <pivotField showAll="0"/>
    <pivotField showAll="0">
      <items count="20">
        <item x="17"/>
        <item x="11"/>
        <item x="15"/>
        <item x="9"/>
        <item x="0"/>
        <item x="8"/>
        <item x="7"/>
        <item x="5"/>
        <item x="18"/>
        <item x="1"/>
        <item x="14"/>
        <item x="16"/>
        <item x="6"/>
        <item x="3"/>
        <item x="2"/>
        <item x="10"/>
        <item x="12"/>
        <item x="4"/>
        <item x="13"/>
        <item t="default"/>
      </items>
    </pivotField>
    <pivotField showAll="0"/>
    <pivotField showAll="0"/>
    <pivotField showAll="0"/>
    <pivotField showAll="0"/>
    <pivotField showAll="0"/>
  </pivotFields>
  <rowFields count="1">
    <field x="7"/>
  </rowFields>
  <rowItems count="13">
    <i>
      <x/>
    </i>
    <i>
      <x v="1"/>
    </i>
    <i>
      <x v="2"/>
    </i>
    <i>
      <x v="3"/>
    </i>
    <i>
      <x v="4"/>
    </i>
    <i>
      <x v="5"/>
    </i>
    <i>
      <x v="6"/>
    </i>
    <i>
      <x v="7"/>
    </i>
    <i>
      <x v="8"/>
    </i>
    <i>
      <x v="10"/>
    </i>
    <i>
      <x v="11"/>
    </i>
    <i>
      <x v="12"/>
    </i>
    <i t="grand">
      <x/>
    </i>
  </rowItems>
  <colItems count="1">
    <i/>
  </colItems>
  <dataFields count="1">
    <dataField name="Count of Last 30 days" fld="6" subtotal="count" baseField="7"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PivotTable3" cacheId="42" applyNumberFormats="0" applyBorderFormats="0" applyFontFormats="0" applyPatternFormats="0" applyAlignmentFormats="0" applyWidthHeightFormats="1" dataCaption="Values" updatedVersion="8" minRefreshableVersion="5" useAutoFormatting="1" itemPrintTitles="1" createdVersion="5" indent="0" outline="1" outlineData="1" multipleFieldFilters="0" chartFormat="7">
  <location ref="AG13:AH21" firstHeaderRow="1" firstDataRow="1" firstDataCol="1"/>
  <pivotFields count="21">
    <pivotField dataField="1" showAll="0"/>
    <pivotField showAll="0"/>
    <pivotField axis="axisRow" showAll="0">
      <items count="10">
        <item x="5"/>
        <item m="1" x="7"/>
        <item x="2"/>
        <item x="4"/>
        <item x="3"/>
        <item m="1" x="8"/>
        <item x="1"/>
        <item x="0"/>
        <item x="6"/>
        <item t="default"/>
      </items>
    </pivotField>
    <pivotField showAll="0">
      <items count="31">
        <item x="0"/>
        <item x="1"/>
        <item x="3"/>
        <item x="2"/>
        <item x="4"/>
        <item x="5"/>
        <item x="6"/>
        <item x="7"/>
        <item x="8"/>
        <item x="9"/>
        <item x="10"/>
        <item x="11"/>
        <item x="12"/>
        <item x="13"/>
        <item x="14"/>
        <item x="15"/>
        <item x="16"/>
        <item x="17"/>
        <item x="18"/>
        <item x="19"/>
        <item x="20"/>
        <item x="21"/>
        <item x="22"/>
        <item x="23"/>
        <item x="24"/>
        <item x="25"/>
        <item x="26"/>
        <item x="27"/>
        <item x="28"/>
        <item x="29"/>
        <item t="default"/>
      </items>
    </pivotField>
    <pivotField showAll="0">
      <items count="17">
        <item x="7"/>
        <item x="3"/>
        <item x="5"/>
        <item x="4"/>
        <item x="6"/>
        <item x="8"/>
        <item x="2"/>
        <item x="1"/>
        <item x="0"/>
        <item m="1" x="11"/>
        <item m="1" x="13"/>
        <item m="1" x="10"/>
        <item m="1" x="15"/>
        <item m="1" x="14"/>
        <item m="1" x="12"/>
        <item x="9"/>
        <item t="default"/>
      </items>
    </pivotField>
    <pivotField showAll="0"/>
    <pivotField showAll="0"/>
    <pivotField showAll="0">
      <items count="14">
        <item x="5"/>
        <item x="3"/>
        <item x="2"/>
        <item x="7"/>
        <item x="6"/>
        <item x="4"/>
        <item x="1"/>
        <item x="9"/>
        <item x="10"/>
        <item m="1" x="12"/>
        <item x="0"/>
        <item x="8"/>
        <item x="11"/>
        <item t="default"/>
      </items>
    </pivotField>
    <pivotField showAll="0"/>
    <pivotField showAll="0">
      <items count="49">
        <item x="14"/>
        <item x="46"/>
        <item x="18"/>
        <item x="22"/>
        <item x="10"/>
        <item x="19"/>
        <item x="17"/>
        <item x="27"/>
        <item x="35"/>
        <item x="28"/>
        <item x="20"/>
        <item x="38"/>
        <item x="26"/>
        <item x="32"/>
        <item x="33"/>
        <item x="31"/>
        <item x="12"/>
        <item x="25"/>
        <item x="16"/>
        <item x="42"/>
        <item x="44"/>
        <item x="34"/>
        <item x="1"/>
        <item x="15"/>
        <item x="5"/>
        <item x="7"/>
        <item x="39"/>
        <item x="2"/>
        <item x="6"/>
        <item x="21"/>
        <item x="8"/>
        <item x="41"/>
        <item x="9"/>
        <item x="45"/>
        <item x="11"/>
        <item x="3"/>
        <item x="0"/>
        <item x="40"/>
        <item x="30"/>
        <item x="13"/>
        <item x="43"/>
        <item x="4"/>
        <item x="36"/>
        <item x="24"/>
        <item x="29"/>
        <item x="23"/>
        <item x="37"/>
        <item x="47"/>
        <item t="default"/>
      </items>
    </pivotField>
    <pivotField showAll="0"/>
    <pivotField showAll="0"/>
    <pivotField showAll="0"/>
    <pivotField showAll="0"/>
    <pivotField showAll="0"/>
    <pivotField showAll="0">
      <items count="20">
        <item x="17"/>
        <item x="11"/>
        <item x="15"/>
        <item x="9"/>
        <item x="0"/>
        <item x="8"/>
        <item x="7"/>
        <item x="5"/>
        <item x="18"/>
        <item x="1"/>
        <item x="14"/>
        <item x="16"/>
        <item x="6"/>
        <item x="3"/>
        <item x="2"/>
        <item x="10"/>
        <item x="12"/>
        <item x="4"/>
        <item x="13"/>
        <item t="default"/>
      </items>
    </pivotField>
    <pivotField showAll="0"/>
    <pivotField showAll="0"/>
    <pivotField showAll="0"/>
    <pivotField showAll="0"/>
    <pivotField showAll="0"/>
  </pivotFields>
  <rowFields count="1">
    <field x="2"/>
  </rowFields>
  <rowItems count="8">
    <i>
      <x/>
    </i>
    <i>
      <x v="2"/>
    </i>
    <i>
      <x v="3"/>
    </i>
    <i>
      <x v="4"/>
    </i>
    <i>
      <x v="6"/>
    </i>
    <i>
      <x v="7"/>
    </i>
    <i>
      <x v="8"/>
    </i>
    <i t="grand">
      <x/>
    </i>
  </rowItems>
  <colItems count="1">
    <i/>
  </colItems>
  <dataFields count="1">
    <dataField name="Count of Case ID" fld="0" subtotal="count" baseField="0" baseItem="0"/>
  </dataFields>
  <chartFormats count="18">
    <chartFormat chart="1" format="0" series="1">
      <pivotArea type="data" outline="0" fieldPosition="0">
        <references count="1">
          <reference field="4294967294" count="1" selected="0">
            <x v="0"/>
          </reference>
        </references>
      </pivotArea>
    </chartFormat>
    <chartFormat chart="6" format="28" series="1">
      <pivotArea type="data" outline="0" fieldPosition="0">
        <references count="1">
          <reference field="4294967294" count="1" selected="0">
            <x v="0"/>
          </reference>
        </references>
      </pivotArea>
    </chartFormat>
    <chartFormat chart="6" format="29">
      <pivotArea type="data" outline="0" fieldPosition="0">
        <references count="2">
          <reference field="4294967294" count="1" selected="0">
            <x v="0"/>
          </reference>
          <reference field="2" count="1" selected="0">
            <x v="0"/>
          </reference>
        </references>
      </pivotArea>
    </chartFormat>
    <chartFormat chart="6" format="30">
      <pivotArea type="data" outline="0" fieldPosition="0">
        <references count="2">
          <reference field="4294967294" count="1" selected="0">
            <x v="0"/>
          </reference>
          <reference field="2" count="1" selected="0">
            <x v="2"/>
          </reference>
        </references>
      </pivotArea>
    </chartFormat>
    <chartFormat chart="6" format="31">
      <pivotArea type="data" outline="0" fieldPosition="0">
        <references count="2">
          <reference field="4294967294" count="1" selected="0">
            <x v="0"/>
          </reference>
          <reference field="2" count="1" selected="0">
            <x v="3"/>
          </reference>
        </references>
      </pivotArea>
    </chartFormat>
    <chartFormat chart="6" format="32">
      <pivotArea type="data" outline="0" fieldPosition="0">
        <references count="2">
          <reference field="4294967294" count="1" selected="0">
            <x v="0"/>
          </reference>
          <reference field="2" count="1" selected="0">
            <x v="4"/>
          </reference>
        </references>
      </pivotArea>
    </chartFormat>
    <chartFormat chart="6" format="33">
      <pivotArea type="data" outline="0" fieldPosition="0">
        <references count="2">
          <reference field="4294967294" count="1" selected="0">
            <x v="0"/>
          </reference>
          <reference field="2" count="1" selected="0">
            <x v="5"/>
          </reference>
        </references>
      </pivotArea>
    </chartFormat>
    <chartFormat chart="6" format="34">
      <pivotArea type="data" outline="0" fieldPosition="0">
        <references count="2">
          <reference field="4294967294" count="1" selected="0">
            <x v="0"/>
          </reference>
          <reference field="2" count="1" selected="0">
            <x v="6"/>
          </reference>
        </references>
      </pivotArea>
    </chartFormat>
    <chartFormat chart="6" format="35">
      <pivotArea type="data" outline="0" fieldPosition="0">
        <references count="2">
          <reference field="4294967294" count="1" selected="0">
            <x v="0"/>
          </reference>
          <reference field="2" count="1" selected="0">
            <x v="7"/>
          </reference>
        </references>
      </pivotArea>
    </chartFormat>
    <chartFormat chart="6" format="36">
      <pivotArea type="data" outline="0" fieldPosition="0">
        <references count="2">
          <reference field="4294967294" count="1" selected="0">
            <x v="0"/>
          </reference>
          <reference field="2" count="1" selected="0">
            <x v="8"/>
          </reference>
        </references>
      </pivotArea>
    </chartFormat>
    <chartFormat chart="1" format="1">
      <pivotArea type="data" outline="0" fieldPosition="0">
        <references count="2">
          <reference field="4294967294" count="1" selected="0">
            <x v="0"/>
          </reference>
          <reference field="2" count="1" selected="0">
            <x v="0"/>
          </reference>
        </references>
      </pivotArea>
    </chartFormat>
    <chartFormat chart="1" format="2">
      <pivotArea type="data" outline="0" fieldPosition="0">
        <references count="2">
          <reference field="4294967294" count="1" selected="0">
            <x v="0"/>
          </reference>
          <reference field="2" count="1" selected="0">
            <x v="2"/>
          </reference>
        </references>
      </pivotArea>
    </chartFormat>
    <chartFormat chart="1" format="3">
      <pivotArea type="data" outline="0" fieldPosition="0">
        <references count="2">
          <reference field="4294967294" count="1" selected="0">
            <x v="0"/>
          </reference>
          <reference field="2" count="1" selected="0">
            <x v="3"/>
          </reference>
        </references>
      </pivotArea>
    </chartFormat>
    <chartFormat chart="1" format="4">
      <pivotArea type="data" outline="0" fieldPosition="0">
        <references count="2">
          <reference field="4294967294" count="1" selected="0">
            <x v="0"/>
          </reference>
          <reference field="2" count="1" selected="0">
            <x v="4"/>
          </reference>
        </references>
      </pivotArea>
    </chartFormat>
    <chartFormat chart="1" format="5">
      <pivotArea type="data" outline="0" fieldPosition="0">
        <references count="2">
          <reference field="4294967294" count="1" selected="0">
            <x v="0"/>
          </reference>
          <reference field="2" count="1" selected="0">
            <x v="5"/>
          </reference>
        </references>
      </pivotArea>
    </chartFormat>
    <chartFormat chart="1" format="6">
      <pivotArea type="data" outline="0" fieldPosition="0">
        <references count="2">
          <reference field="4294967294" count="1" selected="0">
            <x v="0"/>
          </reference>
          <reference field="2" count="1" selected="0">
            <x v="6"/>
          </reference>
        </references>
      </pivotArea>
    </chartFormat>
    <chartFormat chart="1" format="7">
      <pivotArea type="data" outline="0" fieldPosition="0">
        <references count="2">
          <reference field="4294967294" count="1" selected="0">
            <x v="0"/>
          </reference>
          <reference field="2" count="1" selected="0">
            <x v="7"/>
          </reference>
        </references>
      </pivotArea>
    </chartFormat>
    <chartFormat chart="1" format="8">
      <pivotArea type="data" outline="0" fieldPosition="0">
        <references count="2">
          <reference field="4294967294" count="1" selected="0">
            <x v="0"/>
          </reference>
          <reference field="2"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600-000001000000}" name="PivotTable2" cacheId="29"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location ref="D3:E5" firstHeaderRow="1" firstDataRow="1" firstDataCol="1"/>
  <pivotFields count="20">
    <pivotField compact="0" outline="0" showAll="0"/>
    <pivotField compact="0" outline="0" showAll="0"/>
    <pivotField axis="axisRow" dataField="1" compact="0" outline="0" showAll="0">
      <items count="10">
        <item x="5"/>
        <item x="0"/>
        <item h="1" x="6"/>
        <item h="1" m="1" x="7"/>
        <item h="1" x="3"/>
        <item h="1" x="2"/>
        <item h="1" x="4"/>
        <item h="1" x="1"/>
        <item h="1" m="1" x="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24">
        <item x="11"/>
        <item x="9"/>
        <item x="0"/>
        <item x="8"/>
        <item x="7"/>
        <item x="5"/>
        <item m="1" x="22"/>
        <item x="1"/>
        <item x="6"/>
        <item x="3"/>
        <item x="2"/>
        <item x="10"/>
        <item m="1" x="21"/>
        <item m="1" x="20"/>
        <item x="12"/>
        <item x="4"/>
        <item h="1" x="13"/>
        <item h="1" x="18"/>
        <item h="1" x="14"/>
        <item h="1" x="16"/>
        <item h="1" x="15"/>
        <item h="1" m="1" x="19"/>
        <item h="1" x="17"/>
        <item t="default"/>
      </items>
    </pivotField>
    <pivotField compact="0" outline="0" showAll="0"/>
    <pivotField compact="0" outline="0" showAll="0"/>
    <pivotField compact="0" outline="0" showAll="0"/>
    <pivotField compact="0" outline="0" showAll="0"/>
  </pivotFields>
  <rowFields count="1">
    <field x="2"/>
  </rowFields>
  <rowItems count="2">
    <i>
      <x/>
    </i>
    <i>
      <x v="1"/>
    </i>
  </rowItems>
  <colItems count="1">
    <i/>
  </colItems>
  <dataFields count="1">
    <dataField name="Count" fld="2" subtotal="count" baseField="0" baseItem="0"/>
  </dataFields>
  <formats count="12">
    <format dxfId="498">
      <pivotArea outline="0" collapsedLevelsAreSubtotals="1" fieldPosition="0"/>
    </format>
    <format dxfId="497">
      <pivotArea dataOnly="0" labelOnly="1" outline="0" axis="axisValues" fieldPosition="0"/>
    </format>
    <format dxfId="496">
      <pivotArea outline="0" collapsedLevelsAreSubtotals="1" fieldPosition="0"/>
    </format>
    <format dxfId="495">
      <pivotArea dataOnly="0" labelOnly="1" outline="0" axis="axisValues" fieldPosition="0"/>
    </format>
    <format dxfId="494">
      <pivotArea field="15" type="button" dataOnly="0" labelOnly="1" outline="0"/>
    </format>
    <format dxfId="493">
      <pivotArea dataOnly="0" labelOnly="1" grandRow="1" outline="0" fieldPosition="0"/>
    </format>
    <format dxfId="492">
      <pivotArea type="all" dataOnly="0" outline="0" fieldPosition="0"/>
    </format>
    <format dxfId="491">
      <pivotArea outline="0" collapsedLevelsAreSubtotals="1" fieldPosition="0"/>
    </format>
    <format dxfId="490">
      <pivotArea field="2" type="button" dataOnly="0" labelOnly="1" outline="0" axis="axisRow" fieldPosition="0"/>
    </format>
    <format dxfId="489">
      <pivotArea dataOnly="0" labelOnly="1" outline="0" fieldPosition="0">
        <references count="1">
          <reference field="2" count="0"/>
        </references>
      </pivotArea>
    </format>
    <format dxfId="488">
      <pivotArea dataOnly="0" labelOnly="1" grandRow="1" outline="0" fieldPosition="0"/>
    </format>
    <format dxfId="48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1" cacheId="29"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3:B17" firstHeaderRow="1" firstDataRow="1" firstDataCol="1"/>
  <pivotFields count="2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dataField="1" compact="0" outline="0" showAll="0">
      <items count="24">
        <item x="11"/>
        <item x="9"/>
        <item x="0"/>
        <item x="8"/>
        <item x="7"/>
        <item x="5"/>
        <item m="1" x="22"/>
        <item x="1"/>
        <item x="6"/>
        <item x="3"/>
        <item x="2"/>
        <item x="10"/>
        <item m="1" x="21"/>
        <item m="1" x="20"/>
        <item x="12"/>
        <item x="4"/>
        <item h="1" x="13"/>
        <item h="1" x="18"/>
        <item h="1" x="14"/>
        <item h="1" x="16"/>
        <item h="1" x="15"/>
        <item h="1" m="1" x="19"/>
        <item h="1" x="17"/>
        <item t="default"/>
      </items>
    </pivotField>
    <pivotField compact="0" outline="0" showAll="0"/>
    <pivotField compact="0" outline="0" showAll="0"/>
    <pivotField compact="0" outline="0" showAll="0"/>
    <pivotField compact="0" outline="0" showAll="0"/>
  </pivotFields>
  <rowFields count="1">
    <field x="15"/>
  </rowFields>
  <rowItems count="14">
    <i>
      <x/>
    </i>
    <i>
      <x v="1"/>
    </i>
    <i>
      <x v="2"/>
    </i>
    <i>
      <x v="3"/>
    </i>
    <i>
      <x v="4"/>
    </i>
    <i>
      <x v="5"/>
    </i>
    <i>
      <x v="7"/>
    </i>
    <i>
      <x v="8"/>
    </i>
    <i>
      <x v="9"/>
    </i>
    <i>
      <x v="10"/>
    </i>
    <i>
      <x v="11"/>
    </i>
    <i>
      <x v="14"/>
    </i>
    <i>
      <x v="15"/>
    </i>
    <i t="grand">
      <x/>
    </i>
  </rowItems>
  <colItems count="1">
    <i/>
  </colItems>
  <dataFields count="1">
    <dataField name="Count" fld="15" subtotal="count" baseField="0" baseItem="0"/>
  </dataFields>
  <formats count="13">
    <format dxfId="511">
      <pivotArea outline="0" collapsedLevelsAreSubtotals="1" fieldPosition="0"/>
    </format>
    <format dxfId="510">
      <pivotArea dataOnly="0" labelOnly="1" outline="0" axis="axisValues" fieldPosition="0"/>
    </format>
    <format dxfId="509">
      <pivotArea outline="0" collapsedLevelsAreSubtotals="1" fieldPosition="0"/>
    </format>
    <format dxfId="508">
      <pivotArea dataOnly="0" labelOnly="1" outline="0" axis="axisValues" fieldPosition="0"/>
    </format>
    <format dxfId="507">
      <pivotArea field="15" type="button" dataOnly="0" labelOnly="1" outline="0" axis="axisRow" fieldPosition="0"/>
    </format>
    <format dxfId="506">
      <pivotArea dataOnly="0" labelOnly="1" outline="0" fieldPosition="0">
        <references count="1">
          <reference field="15" count="0"/>
        </references>
      </pivotArea>
    </format>
    <format dxfId="505">
      <pivotArea dataOnly="0" labelOnly="1" grandRow="1" outline="0" fieldPosition="0"/>
    </format>
    <format dxfId="504">
      <pivotArea type="all" dataOnly="0" outline="0" fieldPosition="0"/>
    </format>
    <format dxfId="503">
      <pivotArea outline="0" collapsedLevelsAreSubtotals="1" fieldPosition="0"/>
    </format>
    <format dxfId="502">
      <pivotArea field="15" type="button" dataOnly="0" labelOnly="1" outline="0" axis="axisRow" fieldPosition="0"/>
    </format>
    <format dxfId="501">
      <pivotArea dataOnly="0" labelOnly="1" outline="0" fieldPosition="0">
        <references count="1">
          <reference field="15" count="0"/>
        </references>
      </pivotArea>
    </format>
    <format dxfId="500">
      <pivotArea dataOnly="0" labelOnly="1" grandRow="1" outline="0" fieldPosition="0"/>
    </format>
    <format dxfId="49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5"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21" firstHeaderRow="1" firstDataRow="1" firstDataCol="1"/>
  <pivotFields count="2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24">
        <item x="11"/>
        <item x="15"/>
        <item x="9"/>
        <item x="0"/>
        <item x="8"/>
        <item x="7"/>
        <item x="5"/>
        <item x="18"/>
        <item m="1" x="22"/>
        <item x="1"/>
        <item x="14"/>
        <item x="16"/>
        <item x="6"/>
        <item x="3"/>
        <item x="2"/>
        <item x="10"/>
        <item m="1" x="21"/>
        <item m="1" x="20"/>
        <item x="12"/>
        <item x="4"/>
        <item h="1" x="13"/>
        <item m="1" x="19"/>
        <item h="1" x="17"/>
        <item t="default"/>
      </items>
    </pivotField>
    <pivotField showAll="0"/>
    <pivotField showAll="0"/>
    <pivotField showAll="0"/>
    <pivotField showAll="0"/>
  </pivotFields>
  <rowFields count="1">
    <field x="15"/>
  </rowFields>
  <rowItems count="18">
    <i>
      <x/>
    </i>
    <i>
      <x v="1"/>
    </i>
    <i>
      <x v="2"/>
    </i>
    <i>
      <x v="3"/>
    </i>
    <i>
      <x v="4"/>
    </i>
    <i>
      <x v="5"/>
    </i>
    <i>
      <x v="6"/>
    </i>
    <i>
      <x v="7"/>
    </i>
    <i>
      <x v="9"/>
    </i>
    <i>
      <x v="10"/>
    </i>
    <i>
      <x v="11"/>
    </i>
    <i>
      <x v="12"/>
    </i>
    <i>
      <x v="13"/>
    </i>
    <i>
      <x v="14"/>
    </i>
    <i>
      <x v="15"/>
    </i>
    <i>
      <x v="18"/>
    </i>
    <i>
      <x v="19"/>
    </i>
    <i t="grand">
      <x/>
    </i>
  </rowItems>
  <colItems count="1">
    <i/>
  </colItems>
  <dataFields count="1">
    <dataField name="Count of Case ID" fld="0" subtotal="count" baseField="0" baseItem="0"/>
  </dataFields>
  <formats count="2">
    <format dxfId="483">
      <pivotArea outline="0" collapsedLevelsAreSubtotals="1" fieldPosition="0"/>
    </format>
    <format dxfId="482">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800-000001000000}" name="PivotTable6"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Parameters">
  <location ref="A30:B33" firstHeaderRow="1" firstDataRow="1" firstDataCol="1"/>
  <pivotFields count="2">
    <pivotField dataField="1" showAll="0">
      <items count="35">
        <item x="7"/>
        <item x="1"/>
        <item x="23"/>
        <item x="29"/>
        <item x="5"/>
        <item x="12"/>
        <item x="2"/>
        <item x="3"/>
        <item x="24"/>
        <item x="19"/>
        <item x="21"/>
        <item x="25"/>
        <item x="27"/>
        <item x="10"/>
        <item x="17"/>
        <item x="9"/>
        <item x="20"/>
        <item x="30"/>
        <item x="0"/>
        <item x="11"/>
        <item x="18"/>
        <item x="8"/>
        <item x="6"/>
        <item x="31"/>
        <item x="13"/>
        <item x="26"/>
        <item x="22"/>
        <item x="14"/>
        <item x="15"/>
        <item x="28"/>
        <item x="4"/>
        <item x="16"/>
        <item h="1" x="33"/>
        <item h="1" x="32"/>
        <item t="default"/>
      </items>
    </pivotField>
    <pivotField axis="axisRow" showAll="0">
      <items count="4">
        <item x="0"/>
        <item x="1"/>
        <item h="1" x="2"/>
        <item t="default"/>
      </items>
    </pivotField>
  </pivotFields>
  <rowFields count="1">
    <field x="1"/>
  </rowFields>
  <rowItems count="3">
    <i>
      <x/>
    </i>
    <i>
      <x v="1"/>
    </i>
    <i t="grand">
      <x/>
    </i>
  </rowItems>
  <colItems count="1">
    <i/>
  </colItems>
  <dataFields count="1">
    <dataField name="Count of Parameters" fld="0" subtotal="count" baseField="0" baseItem="0"/>
  </dataFields>
  <formats count="3">
    <format dxfId="486">
      <pivotArea field="0" type="button" dataOnly="0" labelOnly="1" outline="0"/>
    </format>
    <format dxfId="485">
      <pivotArea outline="0" collapsedLevelsAreSubtotals="1" fieldPosition="0"/>
    </format>
    <format dxfId="484">
      <pivotArea dataOnly="0" labelOnly="1" outline="0" axis="axisValues" fieldPosition="0"/>
    </format>
  </formats>
  <chartFormats count="18">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1" count="1" selected="0">
            <x v="0"/>
          </reference>
        </references>
      </pivotArea>
    </chartFormat>
    <chartFormat chart="1" format="3">
      <pivotArea type="data" outline="0" fieldPosition="0">
        <references count="2">
          <reference field="4294967294" count="1" selected="0">
            <x v="0"/>
          </reference>
          <reference field="1"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1" count="1" selected="0">
            <x v="0"/>
          </reference>
        </references>
      </pivotArea>
    </chartFormat>
    <chartFormat chart="2" format="6">
      <pivotArea type="data" outline="0" fieldPosition="0">
        <references count="2">
          <reference field="4294967294" count="1" selected="0">
            <x v="0"/>
          </reference>
          <reference field="1" count="1" selected="0">
            <x v="1"/>
          </reference>
        </references>
      </pivotArea>
    </chartFormat>
    <chartFormat chart="0" format="7" series="1">
      <pivotArea type="data" outline="0" fieldPosition="0">
        <references count="1">
          <reference field="4294967294" count="1" selected="0">
            <x v="0"/>
          </reference>
        </references>
      </pivotArea>
    </chartFormat>
    <chartFormat chart="0" format="8">
      <pivotArea type="data" outline="0" fieldPosition="0">
        <references count="2">
          <reference field="4294967294" count="1" selected="0">
            <x v="0"/>
          </reference>
          <reference field="1" count="1" selected="0">
            <x v="0"/>
          </reference>
        </references>
      </pivotArea>
    </chartFormat>
    <chartFormat chart="0" format="9">
      <pivotArea type="data" outline="0" fieldPosition="0">
        <references count="2">
          <reference field="4294967294" count="1" selected="0">
            <x v="0"/>
          </reference>
          <reference field="1" count="1" selected="0">
            <x v="1"/>
          </reference>
        </references>
      </pivotArea>
    </chartFormat>
    <chartFormat chart="4" format="7" series="1">
      <pivotArea type="data" outline="0" fieldPosition="0">
        <references count="1">
          <reference field="4294967294" count="1" selected="0">
            <x v="0"/>
          </reference>
        </references>
      </pivotArea>
    </chartFormat>
    <chartFormat chart="4" format="8">
      <pivotArea type="data" outline="0" fieldPosition="0">
        <references count="2">
          <reference field="4294967294" count="1" selected="0">
            <x v="0"/>
          </reference>
          <reference field="1" count="1" selected="0">
            <x v="0"/>
          </reference>
        </references>
      </pivotArea>
    </chartFormat>
    <chartFormat chart="4" format="9">
      <pivotArea type="data" outline="0" fieldPosition="0">
        <references count="2">
          <reference field="4294967294" count="1" selected="0">
            <x v="0"/>
          </reference>
          <reference field="1" count="1" selected="0">
            <x v="1"/>
          </reference>
        </references>
      </pivotArea>
    </chartFormat>
    <chartFormat chart="5" format="10" series="1">
      <pivotArea type="data" outline="0" fieldPosition="0">
        <references count="1">
          <reference field="4294967294" count="1" selected="0">
            <x v="0"/>
          </reference>
        </references>
      </pivotArea>
    </chartFormat>
    <chartFormat chart="5" format="11">
      <pivotArea type="data" outline="0" fieldPosition="0">
        <references count="2">
          <reference field="4294967294" count="1" selected="0">
            <x v="0"/>
          </reference>
          <reference field="1" count="1" selected="0">
            <x v="0"/>
          </reference>
        </references>
      </pivotArea>
    </chartFormat>
    <chartFormat chart="5" format="12">
      <pivotArea type="data" outline="0" fieldPosition="0">
        <references count="2">
          <reference field="4294967294" count="1" selected="0">
            <x v="0"/>
          </reference>
          <reference field="1" count="1" selected="0">
            <x v="1"/>
          </reference>
        </references>
      </pivotArea>
    </chartFormat>
    <chartFormat chart="7" format="16" series="1">
      <pivotArea type="data" outline="0" fieldPosition="0">
        <references count="1">
          <reference field="4294967294" count="1" selected="0">
            <x v="0"/>
          </reference>
        </references>
      </pivotArea>
    </chartFormat>
    <chartFormat chart="7" format="17">
      <pivotArea type="data" outline="0" fieldPosition="0">
        <references count="2">
          <reference field="4294967294" count="1" selected="0">
            <x v="0"/>
          </reference>
          <reference field="1" count="1" selected="0">
            <x v="0"/>
          </reference>
        </references>
      </pivotArea>
    </chartFormat>
    <chartFormat chart="7" format="18">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900-000001000000}" name="PivotTable8" cacheId="23" applyNumberFormats="0" applyBorderFormats="0" applyFontFormats="0" applyPatternFormats="0" applyAlignmentFormats="0" applyWidthHeightFormats="1" dataCaption="Values" showMissing="0" updatedVersion="8" minRefreshableVersion="3" useAutoFormatting="1" rowGrandTotals="0" colGrandTotals="0" itemPrintTitles="1" createdVersion="8" indent="0" compact="0" compactData="0" multipleFieldFilters="0">
  <location ref="K1:K2" firstHeaderRow="1" firstDataRow="1" firstDataCol="1"/>
  <pivotFields count="2">
    <pivotField compact="0" outline="0" showAll="0">
      <items count="8">
        <item h="1" m="1" x="4"/>
        <item h="1" x="1"/>
        <item h="1" m="1" x="5"/>
        <item h="1" x="2"/>
        <item h="1" m="1" x="6"/>
        <item x="0"/>
        <item h="1" x="3"/>
        <item t="default"/>
      </items>
    </pivotField>
    <pivotField axis="axisRow" compact="0" outline="0" showAll="0">
      <items count="4">
        <item h="1" x="1"/>
        <item x="0"/>
        <item h="1" x="2"/>
        <item t="default"/>
      </items>
    </pivotField>
  </pivotFields>
  <rowFields count="1">
    <field x="1"/>
  </rowFields>
  <rowItems count="1">
    <i>
      <x v="1"/>
    </i>
  </rowItems>
  <colItems count="1">
    <i/>
  </colItems>
  <formats count="3">
    <format dxfId="302">
      <pivotArea type="all" dataOnly="0" outline="0" fieldPosition="0"/>
    </format>
    <format dxfId="301">
      <pivotArea field="1" type="button" dataOnly="0" labelOnly="1" outline="0" axis="axisRow" fieldPosition="0"/>
    </format>
    <format dxfId="300">
      <pivotArea dataOnly="0" labelOnly="1" outline="0" fieldPosition="0">
        <references count="1">
          <reference field="1"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3" cacheId="42" applyNumberFormats="0" applyBorderFormats="0" applyFontFormats="0" applyPatternFormats="0" applyAlignmentFormats="0" applyWidthHeightFormats="1" dataCaption="Values" missingCaption="0" showMissing="0" updatedVersion="8" minRefreshableVersion="3" showDrill="0" rowGrandTotals="0" colGrandTotals="0" itemPrintTitles="1" createdVersion="8" indent="0" compact="0" compactData="0" multipleFieldFilters="0">
  <location ref="A1:F2" firstHeaderRow="1" firstDataRow="1" firstDataCol="6"/>
  <pivotFields count="21">
    <pivotField axis="axisRow" compact="0" outline="0" subtotalTop="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47"/>
        <item x="36"/>
        <item x="37"/>
        <item x="38"/>
        <item x="39"/>
        <item x="40"/>
        <item x="41"/>
        <item x="42"/>
        <item x="43"/>
        <item x="44"/>
        <item x="45"/>
        <item x="46"/>
      </items>
    </pivotField>
    <pivotField compact="0" outline="0" subtotalTop="0" showAll="0" defaultSubtotal="0"/>
    <pivotField axis="axisRow" compact="0" outline="0" subtotalTop="0" showAll="0" defaultSubtotal="0">
      <items count="9">
        <item h="1" x="5"/>
        <item h="1" m="1" x="7"/>
        <item x="3"/>
        <item h="1" x="0"/>
        <item h="1" x="6"/>
        <item h="1" x="2"/>
        <item h="1" x="4"/>
        <item h="1" x="1"/>
        <item h="1" m="1" x="8"/>
      </items>
    </pivotField>
    <pivotField axis="axisRow" compact="0" outline="0" subtotalTop="0" showAll="0" defaultSubtotal="0">
      <items count="31">
        <item x="0"/>
        <item x="1"/>
        <item x="3"/>
        <item x="2"/>
        <item x="4"/>
        <item x="5"/>
        <item x="6"/>
        <item x="7"/>
        <item x="8"/>
        <item x="9"/>
        <item x="10"/>
        <item x="11"/>
        <item x="12"/>
        <item x="13"/>
        <item x="14"/>
        <item x="15"/>
        <item x="16"/>
        <item x="29"/>
        <item x="17"/>
        <item x="18"/>
        <item x="19"/>
        <item x="20"/>
        <item x="21"/>
        <item x="22"/>
        <item x="23"/>
        <item x="24"/>
        <item x="25"/>
        <item m="1" x="30"/>
        <item x="26"/>
        <item x="27"/>
        <item x="28"/>
      </items>
    </pivotField>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axis="axisRow" compact="0" outline="0" subtotalTop="0" showAll="0" defaultSubtotal="0">
      <items count="21">
        <item x="2"/>
        <item x="1"/>
        <item x="4"/>
        <item x="5"/>
        <item x="6"/>
        <item m="1" x="19"/>
        <item x="3"/>
        <item x="0"/>
        <item x="7"/>
        <item x="8"/>
        <item x="9"/>
        <item x="10"/>
        <item x="11"/>
        <item x="12"/>
        <item x="13"/>
        <item x="14"/>
        <item x="15"/>
        <item m="1" x="20"/>
        <item x="16"/>
        <item x="17"/>
        <item x="18"/>
      </items>
    </pivotField>
    <pivotField compact="0" outline="0" subtotalTop="0" showAll="0" defaultSubtotal="0"/>
    <pivotField axis="axisRow" compact="0" outline="0" subtotalTop="0" showAll="0" defaultSubtotal="0">
      <items count="43">
        <item x="3"/>
        <item x="4"/>
        <item x="5"/>
        <item x="1"/>
        <item x="0"/>
        <item x="2"/>
        <item x="6"/>
        <item x="8"/>
        <item x="7"/>
        <item x="9"/>
        <item x="10"/>
        <item x="22"/>
        <item x="11"/>
        <item x="14"/>
        <item x="13"/>
        <item x="15"/>
        <item x="12"/>
        <item x="16"/>
        <item x="17"/>
        <item x="21"/>
        <item x="19"/>
        <item x="20"/>
        <item x="23"/>
        <item x="18"/>
        <item x="24"/>
        <item x="28"/>
        <item x="27"/>
        <item x="26"/>
        <item x="25"/>
        <item x="30"/>
        <item x="29"/>
        <item x="31"/>
        <item x="41"/>
        <item x="32"/>
        <item x="33"/>
        <item x="34"/>
        <item x="35"/>
        <item x="36"/>
        <item x="37"/>
        <item x="38"/>
        <item m="1" x="42"/>
        <item x="39"/>
        <item x="40"/>
      </items>
    </pivotField>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axis="axisRow" compact="0" outline="0" subtotalTop="0" showAll="0" defaultSubtotal="0">
      <items count="25">
        <item m="1" x="16"/>
        <item x="3"/>
        <item x="4"/>
        <item m="1" x="21"/>
        <item m="1" x="19"/>
        <item x="1"/>
        <item x="0"/>
        <item m="1" x="15"/>
        <item m="1" x="23"/>
        <item x="6"/>
        <item x="7"/>
        <item m="1" x="18"/>
        <item x="8"/>
        <item x="9"/>
        <item x="10"/>
        <item x="11"/>
        <item m="1" x="20"/>
        <item m="1" x="22"/>
        <item m="1" x="24"/>
        <item m="1" x="17"/>
        <item x="12"/>
        <item x="5"/>
        <item x="2"/>
        <item x="13"/>
        <item x="14"/>
      </items>
    </pivotField>
  </pivotFields>
  <rowFields count="6">
    <field x="0"/>
    <field x="2"/>
    <field x="8"/>
    <field x="3"/>
    <field x="10"/>
    <field x="20"/>
  </rowFields>
  <rowItems count="1">
    <i>
      <x v="27"/>
      <x v="2"/>
      <x v="6"/>
      <x v="11"/>
      <x v="24"/>
      <x v="2"/>
    </i>
  </rowItems>
  <colItems count="1">
    <i/>
  </colItems>
  <formats count="157">
    <format dxfId="459">
      <pivotArea type="all" dataOnly="0" outline="0" fieldPosition="0"/>
    </format>
    <format dxfId="458">
      <pivotArea field="0" type="button" dataOnly="0" labelOnly="1" outline="0" axis="axisRow" fieldPosition="0"/>
    </format>
    <format dxfId="457">
      <pivotArea field="2" type="button" dataOnly="0" labelOnly="1" outline="0" axis="axisRow" fieldPosition="1"/>
    </format>
    <format dxfId="456">
      <pivotArea field="8" type="button" dataOnly="0" labelOnly="1" outline="0" axis="axisRow" fieldPosition="2"/>
    </format>
    <format dxfId="455">
      <pivotArea field="3" type="button" dataOnly="0" labelOnly="1" outline="0" axis="axisRow" fieldPosition="3"/>
    </format>
    <format dxfId="454">
      <pivotArea field="10" type="button" dataOnly="0" labelOnly="1" outline="0" axis="axisRow" fieldPosition="4"/>
    </format>
    <format dxfId="453">
      <pivotArea dataOnly="0" labelOnly="1" outline="0" fieldPosition="0">
        <references count="1">
          <reference field="0" count="0"/>
        </references>
      </pivotArea>
    </format>
    <format dxfId="452">
      <pivotArea dataOnly="0" labelOnly="1" outline="0" fieldPosition="0">
        <references count="2">
          <reference field="0" count="1" selected="0">
            <x v="0"/>
          </reference>
          <reference field="2" count="1">
            <x v="3"/>
          </reference>
        </references>
      </pivotArea>
    </format>
    <format dxfId="451">
      <pivotArea dataOnly="0" labelOnly="1" outline="0" fieldPosition="0">
        <references count="2">
          <reference field="0" count="1" selected="0">
            <x v="20"/>
          </reference>
          <reference field="2" count="1">
            <x v="1"/>
          </reference>
        </references>
      </pivotArea>
    </format>
    <format dxfId="450">
      <pivotArea dataOnly="0" labelOnly="1" outline="0" fieldPosition="0">
        <references count="2">
          <reference field="0" count="1" selected="0">
            <x v="21"/>
          </reference>
          <reference field="2" count="1">
            <x v="3"/>
          </reference>
        </references>
      </pivotArea>
    </format>
    <format dxfId="449">
      <pivotArea dataOnly="0" labelOnly="1" outline="0" fieldPosition="0">
        <references count="2">
          <reference field="0" count="1" selected="0">
            <x v="22"/>
          </reference>
          <reference field="2" count="1">
            <x v="1"/>
          </reference>
        </references>
      </pivotArea>
    </format>
    <format dxfId="448">
      <pivotArea dataOnly="0" labelOnly="1" outline="0" fieldPosition="0">
        <references count="2">
          <reference field="0" count="1" selected="0">
            <x v="23"/>
          </reference>
          <reference field="2" count="1">
            <x v="3"/>
          </reference>
        </references>
      </pivotArea>
    </format>
    <format dxfId="447">
      <pivotArea dataOnly="0" labelOnly="1" outline="0" fieldPosition="0">
        <references count="2">
          <reference field="0" count="1" selected="0">
            <x v="27"/>
          </reference>
          <reference field="2" count="1">
            <x v="2"/>
          </reference>
        </references>
      </pivotArea>
    </format>
    <format dxfId="446">
      <pivotArea dataOnly="0" labelOnly="1" outline="0" fieldPosition="0">
        <references count="2">
          <reference field="0" count="1" selected="0">
            <x v="28"/>
          </reference>
          <reference field="2" count="1">
            <x v="3"/>
          </reference>
        </references>
      </pivotArea>
    </format>
    <format dxfId="445">
      <pivotArea dataOnly="0" labelOnly="1" outline="0" fieldPosition="0">
        <references count="2">
          <reference field="0" count="1" selected="0">
            <x v="32"/>
          </reference>
          <reference field="2" count="1">
            <x v="0"/>
          </reference>
        </references>
      </pivotArea>
    </format>
    <format dxfId="444">
      <pivotArea dataOnly="0" labelOnly="1" outline="0" fieldPosition="0">
        <references count="2">
          <reference field="0" count="1" selected="0">
            <x v="34"/>
          </reference>
          <reference field="2" count="1">
            <x v="3"/>
          </reference>
        </references>
      </pivotArea>
    </format>
    <format dxfId="443">
      <pivotArea dataOnly="0" labelOnly="1" outline="0" fieldPosition="0">
        <references count="2">
          <reference field="0" count="1" selected="0">
            <x v="36"/>
          </reference>
          <reference field="2" count="1">
            <x v="4"/>
          </reference>
        </references>
      </pivotArea>
    </format>
    <format dxfId="442">
      <pivotArea dataOnly="0" labelOnly="1" outline="0" fieldPosition="0">
        <references count="3">
          <reference field="0" count="1" selected="0">
            <x v="0"/>
          </reference>
          <reference field="2" count="1" selected="0">
            <x v="3"/>
          </reference>
          <reference field="8" count="1">
            <x v="7"/>
          </reference>
        </references>
      </pivotArea>
    </format>
    <format dxfId="441">
      <pivotArea dataOnly="0" labelOnly="1" outline="0" fieldPosition="0">
        <references count="3">
          <reference field="0" count="1" selected="0">
            <x v="20"/>
          </reference>
          <reference field="2" count="1" selected="0">
            <x v="1"/>
          </reference>
          <reference field="8" count="1">
            <x v="1"/>
          </reference>
        </references>
      </pivotArea>
    </format>
    <format dxfId="440">
      <pivotArea dataOnly="0" labelOnly="1" outline="0" fieldPosition="0">
        <references count="3">
          <reference field="0" count="1" selected="0">
            <x v="21"/>
          </reference>
          <reference field="2" count="1" selected="0">
            <x v="3"/>
          </reference>
          <reference field="8" count="1">
            <x v="7"/>
          </reference>
        </references>
      </pivotArea>
    </format>
    <format dxfId="439">
      <pivotArea dataOnly="0" labelOnly="1" outline="0" fieldPosition="0">
        <references count="3">
          <reference field="0" count="1" selected="0">
            <x v="22"/>
          </reference>
          <reference field="2" count="1" selected="0">
            <x v="1"/>
          </reference>
          <reference field="8" count="1">
            <x v="0"/>
          </reference>
        </references>
      </pivotArea>
    </format>
    <format dxfId="438">
      <pivotArea dataOnly="0" labelOnly="1" outline="0" fieldPosition="0">
        <references count="3">
          <reference field="0" count="1" selected="0">
            <x v="23"/>
          </reference>
          <reference field="2" count="1" selected="0">
            <x v="3"/>
          </reference>
          <reference field="8" count="1">
            <x v="7"/>
          </reference>
        </references>
      </pivotArea>
    </format>
    <format dxfId="437">
      <pivotArea dataOnly="0" labelOnly="1" outline="0" fieldPosition="0">
        <references count="3">
          <reference field="0" count="1" selected="0">
            <x v="27"/>
          </reference>
          <reference field="2" count="1" selected="0">
            <x v="2"/>
          </reference>
          <reference field="8" count="1">
            <x v="6"/>
          </reference>
        </references>
      </pivotArea>
    </format>
    <format dxfId="436">
      <pivotArea dataOnly="0" labelOnly="1" outline="0" fieldPosition="0">
        <references count="3">
          <reference field="0" count="1" selected="0">
            <x v="28"/>
          </reference>
          <reference field="2" count="1" selected="0">
            <x v="3"/>
          </reference>
          <reference field="8" count="1">
            <x v="7"/>
          </reference>
        </references>
      </pivotArea>
    </format>
    <format dxfId="435">
      <pivotArea dataOnly="0" labelOnly="1" outline="0" fieldPosition="0">
        <references count="3">
          <reference field="0" count="1" selected="0">
            <x v="32"/>
          </reference>
          <reference field="2" count="1" selected="0">
            <x v="0"/>
          </reference>
          <reference field="8" count="1">
            <x v="2"/>
          </reference>
        </references>
      </pivotArea>
    </format>
    <format dxfId="434">
      <pivotArea dataOnly="0" labelOnly="1" outline="0" fieldPosition="0">
        <references count="3">
          <reference field="0" count="1" selected="0">
            <x v="33"/>
          </reference>
          <reference field="2" count="1" selected="0">
            <x v="0"/>
          </reference>
          <reference field="8" count="1">
            <x v="3"/>
          </reference>
        </references>
      </pivotArea>
    </format>
    <format dxfId="433">
      <pivotArea dataOnly="0" labelOnly="1" outline="0" fieldPosition="0">
        <references count="3">
          <reference field="0" count="1" selected="0">
            <x v="34"/>
          </reference>
          <reference field="2" count="1" selected="0">
            <x v="3"/>
          </reference>
          <reference field="8" count="1">
            <x v="4"/>
          </reference>
        </references>
      </pivotArea>
    </format>
    <format dxfId="432">
      <pivotArea dataOnly="0" labelOnly="1" outline="0" fieldPosition="0">
        <references count="3">
          <reference field="0" count="1" selected="0">
            <x v="36"/>
          </reference>
          <reference field="2" count="1" selected="0">
            <x v="4"/>
          </reference>
          <reference field="8" count="1">
            <x v="7"/>
          </reference>
        </references>
      </pivotArea>
    </format>
    <format dxfId="431">
      <pivotArea dataOnly="0" labelOnly="1" outline="0" fieldPosition="0">
        <references count="4">
          <reference field="0" count="1" selected="0">
            <x v="0"/>
          </reference>
          <reference field="2" count="1" selected="0">
            <x v="3"/>
          </reference>
          <reference field="3" count="1">
            <x v="0"/>
          </reference>
          <reference field="8" count="1" selected="0">
            <x v="7"/>
          </reference>
        </references>
      </pivotArea>
    </format>
    <format dxfId="430">
      <pivotArea dataOnly="0" labelOnly="1" outline="0" fieldPosition="0">
        <references count="4">
          <reference field="0" count="1" selected="0">
            <x v="5"/>
          </reference>
          <reference field="2" count="1" selected="0">
            <x v="3"/>
          </reference>
          <reference field="3" count="1">
            <x v="1"/>
          </reference>
          <reference field="8" count="1" selected="0">
            <x v="7"/>
          </reference>
        </references>
      </pivotArea>
    </format>
    <format dxfId="429">
      <pivotArea dataOnly="0" labelOnly="1" outline="0" fieldPosition="0">
        <references count="4">
          <reference field="0" count="1" selected="0">
            <x v="9"/>
          </reference>
          <reference field="2" count="1" selected="0">
            <x v="3"/>
          </reference>
          <reference field="3" count="1">
            <x v="3"/>
          </reference>
          <reference field="8" count="1" selected="0">
            <x v="7"/>
          </reference>
        </references>
      </pivotArea>
    </format>
    <format dxfId="428">
      <pivotArea dataOnly="0" labelOnly="1" outline="0" fieldPosition="0">
        <references count="4">
          <reference field="0" count="1" selected="0">
            <x v="12"/>
          </reference>
          <reference field="2" count="1" selected="0">
            <x v="3"/>
          </reference>
          <reference field="3" count="1">
            <x v="2"/>
          </reference>
          <reference field="8" count="1" selected="0">
            <x v="7"/>
          </reference>
        </references>
      </pivotArea>
    </format>
    <format dxfId="427">
      <pivotArea dataOnly="0" labelOnly="1" outline="0" fieldPosition="0">
        <references count="4">
          <reference field="0" count="1" selected="0">
            <x v="15"/>
          </reference>
          <reference field="2" count="1" selected="0">
            <x v="3"/>
          </reference>
          <reference field="3" count="1">
            <x v="4"/>
          </reference>
          <reference field="8" count="1" selected="0">
            <x v="7"/>
          </reference>
        </references>
      </pivotArea>
    </format>
    <format dxfId="426">
      <pivotArea dataOnly="0" labelOnly="1" outline="0" fieldPosition="0">
        <references count="4">
          <reference field="0" count="1" selected="0">
            <x v="17"/>
          </reference>
          <reference field="2" count="1" selected="0">
            <x v="3"/>
          </reference>
          <reference field="3" count="1">
            <x v="5"/>
          </reference>
          <reference field="8" count="1" selected="0">
            <x v="7"/>
          </reference>
        </references>
      </pivotArea>
    </format>
    <format dxfId="425">
      <pivotArea dataOnly="0" labelOnly="1" outline="0" fieldPosition="0">
        <references count="4">
          <reference field="0" count="1" selected="0">
            <x v="18"/>
          </reference>
          <reference field="2" count="1" selected="0">
            <x v="3"/>
          </reference>
          <reference field="3" count="1">
            <x v="6"/>
          </reference>
          <reference field="8" count="1" selected="0">
            <x v="7"/>
          </reference>
        </references>
      </pivotArea>
    </format>
    <format dxfId="424">
      <pivotArea dataOnly="0" labelOnly="1" outline="0" fieldPosition="0">
        <references count="4">
          <reference field="0" count="1" selected="0">
            <x v="19"/>
          </reference>
          <reference field="2" count="1" selected="0">
            <x v="3"/>
          </reference>
          <reference field="3" count="1">
            <x v="7"/>
          </reference>
          <reference field="8" count="1" selected="0">
            <x v="7"/>
          </reference>
        </references>
      </pivotArea>
    </format>
    <format dxfId="423">
      <pivotArea dataOnly="0" labelOnly="1" outline="0" fieldPosition="0">
        <references count="4">
          <reference field="0" count="1" selected="0">
            <x v="20"/>
          </reference>
          <reference field="2" count="1" selected="0">
            <x v="1"/>
          </reference>
          <reference field="3" count="1">
            <x v="8"/>
          </reference>
          <reference field="8" count="1" selected="0">
            <x v="1"/>
          </reference>
        </references>
      </pivotArea>
    </format>
    <format dxfId="422">
      <pivotArea dataOnly="0" labelOnly="1" outline="0" fieldPosition="0">
        <references count="4">
          <reference field="0" count="1" selected="0">
            <x v="22"/>
          </reference>
          <reference field="2" count="1" selected="0">
            <x v="1"/>
          </reference>
          <reference field="3" count="1">
            <x v="9"/>
          </reference>
          <reference field="8" count="1" selected="0">
            <x v="0"/>
          </reference>
        </references>
      </pivotArea>
    </format>
    <format dxfId="421">
      <pivotArea dataOnly="0" labelOnly="1" outline="0" fieldPosition="0">
        <references count="4">
          <reference field="0" count="1" selected="0">
            <x v="26"/>
          </reference>
          <reference field="2" count="1" selected="0">
            <x v="3"/>
          </reference>
          <reference field="3" count="1">
            <x v="10"/>
          </reference>
          <reference field="8" count="1" selected="0">
            <x v="7"/>
          </reference>
        </references>
      </pivotArea>
    </format>
    <format dxfId="420">
      <pivotArea dataOnly="0" labelOnly="1" outline="0" fieldPosition="0">
        <references count="4">
          <reference field="0" count="1" selected="0">
            <x v="27"/>
          </reference>
          <reference field="2" count="1" selected="0">
            <x v="2"/>
          </reference>
          <reference field="3" count="1">
            <x v="11"/>
          </reference>
          <reference field="8" count="1" selected="0">
            <x v="6"/>
          </reference>
        </references>
      </pivotArea>
    </format>
    <format dxfId="419">
      <pivotArea dataOnly="0" labelOnly="1" outline="0" fieldPosition="0">
        <references count="4">
          <reference field="0" count="1" selected="0">
            <x v="28"/>
          </reference>
          <reference field="2" count="1" selected="0">
            <x v="3"/>
          </reference>
          <reference field="3" count="1">
            <x v="12"/>
          </reference>
          <reference field="8" count="1" selected="0">
            <x v="7"/>
          </reference>
        </references>
      </pivotArea>
    </format>
    <format dxfId="418">
      <pivotArea dataOnly="0" labelOnly="1" outline="0" fieldPosition="0">
        <references count="4">
          <reference field="0" count="1" selected="0">
            <x v="29"/>
          </reference>
          <reference field="2" count="1" selected="0">
            <x v="3"/>
          </reference>
          <reference field="3" count="1">
            <x v="13"/>
          </reference>
          <reference field="8" count="1" selected="0">
            <x v="7"/>
          </reference>
        </references>
      </pivotArea>
    </format>
    <format dxfId="417">
      <pivotArea dataOnly="0" labelOnly="1" outline="0" fieldPosition="0">
        <references count="4">
          <reference field="0" count="1" selected="0">
            <x v="31"/>
          </reference>
          <reference field="2" count="1" selected="0">
            <x v="3"/>
          </reference>
          <reference field="3" count="1">
            <x v="14"/>
          </reference>
          <reference field="8" count="1" selected="0">
            <x v="7"/>
          </reference>
        </references>
      </pivotArea>
    </format>
    <format dxfId="416">
      <pivotArea dataOnly="0" labelOnly="1" outline="0" fieldPosition="0">
        <references count="4">
          <reference field="0" count="1" selected="0">
            <x v="32"/>
          </reference>
          <reference field="2" count="1" selected="0">
            <x v="0"/>
          </reference>
          <reference field="3" count="1">
            <x v="15"/>
          </reference>
          <reference field="8" count="1" selected="0">
            <x v="2"/>
          </reference>
        </references>
      </pivotArea>
    </format>
    <format dxfId="415">
      <pivotArea dataOnly="0" labelOnly="1" outline="0" fieldPosition="0">
        <references count="4">
          <reference field="0" count="1" selected="0">
            <x v="33"/>
          </reference>
          <reference field="2" count="1" selected="0">
            <x v="0"/>
          </reference>
          <reference field="3" count="1">
            <x v="16"/>
          </reference>
          <reference field="8" count="1" selected="0">
            <x v="3"/>
          </reference>
        </references>
      </pivotArea>
    </format>
    <format dxfId="414">
      <pivotArea dataOnly="0" labelOnly="1" outline="0" fieldPosition="0">
        <references count="4">
          <reference field="0" count="1" selected="0">
            <x v="36"/>
          </reference>
          <reference field="2" count="1" selected="0">
            <x v="4"/>
          </reference>
          <reference field="3" count="1">
            <x v="17"/>
          </reference>
          <reference field="8" count="1" selected="0">
            <x v="7"/>
          </reference>
        </references>
      </pivotArea>
    </format>
    <format dxfId="413">
      <pivotArea dataOnly="0" labelOnly="1" outline="0" fieldPosition="0">
        <references count="5">
          <reference field="0" count="1" selected="0">
            <x v="0"/>
          </reference>
          <reference field="2" count="1" selected="0">
            <x v="3"/>
          </reference>
          <reference field="3" count="1" selected="0">
            <x v="0"/>
          </reference>
          <reference field="8" count="1" selected="0">
            <x v="7"/>
          </reference>
          <reference field="10" count="1">
            <x v="4"/>
          </reference>
        </references>
      </pivotArea>
    </format>
    <format dxfId="412">
      <pivotArea dataOnly="0" labelOnly="1" outline="0" fieldPosition="0">
        <references count="5">
          <reference field="0" count="1" selected="0">
            <x v="1"/>
          </reference>
          <reference field="2" count="1" selected="0">
            <x v="3"/>
          </reference>
          <reference field="3" count="1" selected="0">
            <x v="0"/>
          </reference>
          <reference field="8" count="1" selected="0">
            <x v="7"/>
          </reference>
          <reference field="10" count="1">
            <x v="3"/>
          </reference>
        </references>
      </pivotArea>
    </format>
    <format dxfId="411">
      <pivotArea dataOnly="0" labelOnly="1" outline="0" fieldPosition="0">
        <references count="5">
          <reference field="0" count="1" selected="0">
            <x v="2"/>
          </reference>
          <reference field="2" count="1" selected="0">
            <x v="3"/>
          </reference>
          <reference field="3" count="1" selected="0">
            <x v="0"/>
          </reference>
          <reference field="8" count="1" selected="0">
            <x v="7"/>
          </reference>
          <reference field="10" count="1">
            <x v="5"/>
          </reference>
        </references>
      </pivotArea>
    </format>
    <format dxfId="410">
      <pivotArea dataOnly="0" labelOnly="1" outline="0" fieldPosition="0">
        <references count="5">
          <reference field="0" count="1" selected="0">
            <x v="3"/>
          </reference>
          <reference field="2" count="1" selected="0">
            <x v="3"/>
          </reference>
          <reference field="3" count="1" selected="0">
            <x v="0"/>
          </reference>
          <reference field="8" count="1" selected="0">
            <x v="7"/>
          </reference>
          <reference field="10" count="1">
            <x v="0"/>
          </reference>
        </references>
      </pivotArea>
    </format>
    <format dxfId="409">
      <pivotArea dataOnly="0" labelOnly="1" outline="0" fieldPosition="0">
        <references count="5">
          <reference field="0" count="1" selected="0">
            <x v="4"/>
          </reference>
          <reference field="2" count="1" selected="0">
            <x v="3"/>
          </reference>
          <reference field="3" count="1" selected="0">
            <x v="0"/>
          </reference>
          <reference field="8" count="1" selected="0">
            <x v="7"/>
          </reference>
          <reference field="10" count="1">
            <x v="1"/>
          </reference>
        </references>
      </pivotArea>
    </format>
    <format dxfId="408">
      <pivotArea dataOnly="0" labelOnly="1" outline="0" fieldPosition="0">
        <references count="5">
          <reference field="0" count="1" selected="0">
            <x v="6"/>
          </reference>
          <reference field="2" count="1" selected="0">
            <x v="3"/>
          </reference>
          <reference field="3" count="1" selected="0">
            <x v="1"/>
          </reference>
          <reference field="8" count="1" selected="0">
            <x v="7"/>
          </reference>
          <reference field="10" count="1">
            <x v="2"/>
          </reference>
        </references>
      </pivotArea>
    </format>
    <format dxfId="407">
      <pivotArea dataOnly="0" labelOnly="1" outline="0" fieldPosition="0">
        <references count="5">
          <reference field="0" count="1" selected="0">
            <x v="7"/>
          </reference>
          <reference field="2" count="1" selected="0">
            <x v="3"/>
          </reference>
          <reference field="3" count="1" selected="0">
            <x v="1"/>
          </reference>
          <reference field="8" count="1" selected="0">
            <x v="7"/>
          </reference>
          <reference field="10" count="1">
            <x v="6"/>
          </reference>
        </references>
      </pivotArea>
    </format>
    <format dxfId="406">
      <pivotArea dataOnly="0" labelOnly="1" outline="0" fieldPosition="0">
        <references count="5">
          <reference field="0" count="1" selected="0">
            <x v="8"/>
          </reference>
          <reference field="2" count="1" selected="0">
            <x v="3"/>
          </reference>
          <reference field="3" count="1" selected="0">
            <x v="1"/>
          </reference>
          <reference field="8" count="1" selected="0">
            <x v="7"/>
          </reference>
          <reference field="10" count="1">
            <x v="5"/>
          </reference>
        </references>
      </pivotArea>
    </format>
    <format dxfId="405">
      <pivotArea dataOnly="0" labelOnly="1" outline="0" fieldPosition="0">
        <references count="5">
          <reference field="0" count="1" selected="0">
            <x v="9"/>
          </reference>
          <reference field="2" count="1" selected="0">
            <x v="3"/>
          </reference>
          <reference field="3" count="1" selected="0">
            <x v="3"/>
          </reference>
          <reference field="8" count="1" selected="0">
            <x v="7"/>
          </reference>
          <reference field="10" count="1">
            <x v="8"/>
          </reference>
        </references>
      </pivotArea>
    </format>
    <format dxfId="404">
      <pivotArea dataOnly="0" labelOnly="1" outline="0" fieldPosition="0">
        <references count="5">
          <reference field="0" count="1" selected="0">
            <x v="10"/>
          </reference>
          <reference field="2" count="1" selected="0">
            <x v="3"/>
          </reference>
          <reference field="3" count="1" selected="0">
            <x v="3"/>
          </reference>
          <reference field="8" count="1" selected="0">
            <x v="7"/>
          </reference>
          <reference field="10" count="1">
            <x v="7"/>
          </reference>
        </references>
      </pivotArea>
    </format>
    <format dxfId="403">
      <pivotArea dataOnly="0" labelOnly="1" outline="0" fieldPosition="0">
        <references count="5">
          <reference field="0" count="1" selected="0">
            <x v="11"/>
          </reference>
          <reference field="2" count="1" selected="0">
            <x v="3"/>
          </reference>
          <reference field="3" count="1" selected="0">
            <x v="3"/>
          </reference>
          <reference field="8" count="1" selected="0">
            <x v="7"/>
          </reference>
          <reference field="10" count="1">
            <x v="9"/>
          </reference>
        </references>
      </pivotArea>
    </format>
    <format dxfId="402">
      <pivotArea dataOnly="0" labelOnly="1" outline="0" fieldPosition="0">
        <references count="5">
          <reference field="0" count="1" selected="0">
            <x v="12"/>
          </reference>
          <reference field="2" count="1" selected="0">
            <x v="3"/>
          </reference>
          <reference field="3" count="1" selected="0">
            <x v="2"/>
          </reference>
          <reference field="8" count="1" selected="0">
            <x v="7"/>
          </reference>
          <reference field="10" count="1">
            <x v="7"/>
          </reference>
        </references>
      </pivotArea>
    </format>
    <format dxfId="401">
      <pivotArea dataOnly="0" labelOnly="1" outline="0" fieldPosition="0">
        <references count="5">
          <reference field="0" count="1" selected="0">
            <x v="13"/>
          </reference>
          <reference field="2" count="1" selected="0">
            <x v="3"/>
          </reference>
          <reference field="3" count="1" selected="0">
            <x v="2"/>
          </reference>
          <reference field="8" count="1" selected="0">
            <x v="7"/>
          </reference>
          <reference field="10" count="1">
            <x v="9"/>
          </reference>
        </references>
      </pivotArea>
    </format>
    <format dxfId="400">
      <pivotArea dataOnly="0" labelOnly="1" outline="0" fieldPosition="0">
        <references count="5">
          <reference field="0" count="1" selected="0">
            <x v="14"/>
          </reference>
          <reference field="2" count="1" selected="0">
            <x v="3"/>
          </reference>
          <reference field="3" count="1" selected="0">
            <x v="2"/>
          </reference>
          <reference field="8" count="1" selected="0">
            <x v="7"/>
          </reference>
          <reference field="10" count="1">
            <x v="10"/>
          </reference>
        </references>
      </pivotArea>
    </format>
    <format dxfId="399">
      <pivotArea dataOnly="0" labelOnly="1" outline="0" fieldPosition="0">
        <references count="5">
          <reference field="0" count="1" selected="0">
            <x v="15"/>
          </reference>
          <reference field="2" count="1" selected="0">
            <x v="3"/>
          </reference>
          <reference field="3" count="1" selected="0">
            <x v="4"/>
          </reference>
          <reference field="8" count="1" selected="0">
            <x v="7"/>
          </reference>
          <reference field="10" count="1">
            <x v="12"/>
          </reference>
        </references>
      </pivotArea>
    </format>
    <format dxfId="398">
      <pivotArea dataOnly="0" labelOnly="1" outline="0" fieldPosition="0">
        <references count="5">
          <reference field="0" count="1" selected="0">
            <x v="16"/>
          </reference>
          <reference field="2" count="1" selected="0">
            <x v="3"/>
          </reference>
          <reference field="3" count="1" selected="0">
            <x v="4"/>
          </reference>
          <reference field="8" count="1" selected="0">
            <x v="7"/>
          </reference>
          <reference field="10" count="1">
            <x v="16"/>
          </reference>
        </references>
      </pivotArea>
    </format>
    <format dxfId="397">
      <pivotArea dataOnly="0" labelOnly="1" outline="0" fieldPosition="0">
        <references count="5">
          <reference field="0" count="1" selected="0">
            <x v="17"/>
          </reference>
          <reference field="2" count="1" selected="0">
            <x v="3"/>
          </reference>
          <reference field="3" count="1" selected="0">
            <x v="5"/>
          </reference>
          <reference field="8" count="1" selected="0">
            <x v="7"/>
          </reference>
          <reference field="10" count="1">
            <x v="14"/>
          </reference>
        </references>
      </pivotArea>
    </format>
    <format dxfId="396">
      <pivotArea dataOnly="0" labelOnly="1" outline="0" fieldPosition="0">
        <references count="5">
          <reference field="0" count="1" selected="0">
            <x v="18"/>
          </reference>
          <reference field="2" count="1" selected="0">
            <x v="3"/>
          </reference>
          <reference field="3" count="1" selected="0">
            <x v="5"/>
          </reference>
          <reference field="8" count="1" selected="0">
            <x v="7"/>
          </reference>
          <reference field="10" count="1">
            <x v="13"/>
          </reference>
        </references>
      </pivotArea>
    </format>
    <format dxfId="395">
      <pivotArea dataOnly="0" labelOnly="1" outline="0" fieldPosition="0">
        <references count="5">
          <reference field="0" count="1" selected="0">
            <x v="18"/>
          </reference>
          <reference field="2" count="1" selected="0">
            <x v="3"/>
          </reference>
          <reference field="3" count="1" selected="0">
            <x v="6"/>
          </reference>
          <reference field="8" count="1" selected="0">
            <x v="7"/>
          </reference>
          <reference field="10" count="1">
            <x v="15"/>
          </reference>
        </references>
      </pivotArea>
    </format>
    <format dxfId="394">
      <pivotArea dataOnly="0" labelOnly="1" outline="0" fieldPosition="0">
        <references count="5">
          <reference field="0" count="1" selected="0">
            <x v="19"/>
          </reference>
          <reference field="2" count="1" selected="0">
            <x v="3"/>
          </reference>
          <reference field="3" count="1" selected="0">
            <x v="7"/>
          </reference>
          <reference field="8" count="1" selected="0">
            <x v="7"/>
          </reference>
          <reference field="10" count="1">
            <x v="17"/>
          </reference>
        </references>
      </pivotArea>
    </format>
    <format dxfId="393">
      <pivotArea dataOnly="0" labelOnly="1" outline="0" fieldPosition="0">
        <references count="5">
          <reference field="0" count="1" selected="0">
            <x v="20"/>
          </reference>
          <reference field="2" count="1" selected="0">
            <x v="1"/>
          </reference>
          <reference field="3" count="1" selected="0">
            <x v="8"/>
          </reference>
          <reference field="8" count="1" selected="0">
            <x v="1"/>
          </reference>
          <reference field="10" count="1">
            <x v="18"/>
          </reference>
        </references>
      </pivotArea>
    </format>
    <format dxfId="392">
      <pivotArea dataOnly="0" labelOnly="1" outline="0" fieldPosition="0">
        <references count="5">
          <reference field="0" count="1" selected="0">
            <x v="21"/>
          </reference>
          <reference field="2" count="1" selected="0">
            <x v="3"/>
          </reference>
          <reference field="3" count="1" selected="0">
            <x v="8"/>
          </reference>
          <reference field="8" count="1" selected="0">
            <x v="7"/>
          </reference>
          <reference field="10" count="1">
            <x v="23"/>
          </reference>
        </references>
      </pivotArea>
    </format>
    <format dxfId="391">
      <pivotArea dataOnly="0" labelOnly="1" outline="0" fieldPosition="0">
        <references count="5">
          <reference field="0" count="1" selected="0">
            <x v="22"/>
          </reference>
          <reference field="2" count="1" selected="0">
            <x v="1"/>
          </reference>
          <reference field="3" count="1" selected="0">
            <x v="9"/>
          </reference>
          <reference field="8" count="1" selected="0">
            <x v="0"/>
          </reference>
          <reference field="10" count="1">
            <x v="20"/>
          </reference>
        </references>
      </pivotArea>
    </format>
    <format dxfId="390">
      <pivotArea dataOnly="0" labelOnly="1" outline="0" fieldPosition="0">
        <references count="5">
          <reference field="0" count="1" selected="0">
            <x v="23"/>
          </reference>
          <reference field="2" count="1" selected="0">
            <x v="3"/>
          </reference>
          <reference field="3" count="1" selected="0">
            <x v="9"/>
          </reference>
          <reference field="8" count="1" selected="0">
            <x v="7"/>
          </reference>
          <reference field="10" count="1">
            <x v="21"/>
          </reference>
        </references>
      </pivotArea>
    </format>
    <format dxfId="389">
      <pivotArea dataOnly="0" labelOnly="1" outline="0" fieldPosition="0">
        <references count="5">
          <reference field="0" count="1" selected="0">
            <x v="24"/>
          </reference>
          <reference field="2" count="1" selected="0">
            <x v="3"/>
          </reference>
          <reference field="3" count="1" selected="0">
            <x v="9"/>
          </reference>
          <reference field="8" count="1" selected="0">
            <x v="7"/>
          </reference>
          <reference field="10" count="1">
            <x v="19"/>
          </reference>
        </references>
      </pivotArea>
    </format>
    <format dxfId="388">
      <pivotArea dataOnly="0" labelOnly="1" outline="0" fieldPosition="0">
        <references count="5">
          <reference field="0" count="1" selected="0">
            <x v="25"/>
          </reference>
          <reference field="2" count="1" selected="0">
            <x v="3"/>
          </reference>
          <reference field="3" count="1" selected="0">
            <x v="9"/>
          </reference>
          <reference field="8" count="1" selected="0">
            <x v="7"/>
          </reference>
          <reference field="10" count="1">
            <x v="11"/>
          </reference>
        </references>
      </pivotArea>
    </format>
    <format dxfId="387">
      <pivotArea dataOnly="0" labelOnly="1" outline="0" fieldPosition="0">
        <references count="5">
          <reference field="0" count="1" selected="0">
            <x v="26"/>
          </reference>
          <reference field="2" count="1" selected="0">
            <x v="3"/>
          </reference>
          <reference field="3" count="1" selected="0">
            <x v="10"/>
          </reference>
          <reference field="8" count="1" selected="0">
            <x v="7"/>
          </reference>
          <reference field="10" count="1">
            <x v="22"/>
          </reference>
        </references>
      </pivotArea>
    </format>
    <format dxfId="386">
      <pivotArea dataOnly="0" labelOnly="1" outline="0" fieldPosition="0">
        <references count="5">
          <reference field="0" count="1" selected="0">
            <x v="27"/>
          </reference>
          <reference field="2" count="1" selected="0">
            <x v="2"/>
          </reference>
          <reference field="3" count="1" selected="0">
            <x v="11"/>
          </reference>
          <reference field="8" count="1" selected="0">
            <x v="6"/>
          </reference>
          <reference field="10" count="1">
            <x v="24"/>
          </reference>
        </references>
      </pivotArea>
    </format>
    <format dxfId="385">
      <pivotArea dataOnly="0" labelOnly="1" outline="0" fieldPosition="0">
        <references count="5">
          <reference field="0" count="1" selected="0">
            <x v="28"/>
          </reference>
          <reference field="2" count="1" selected="0">
            <x v="3"/>
          </reference>
          <reference field="3" count="1" selected="0">
            <x v="12"/>
          </reference>
          <reference field="8" count="1" selected="0">
            <x v="7"/>
          </reference>
          <reference field="10" count="1">
            <x v="28"/>
          </reference>
        </references>
      </pivotArea>
    </format>
    <format dxfId="384">
      <pivotArea dataOnly="0" labelOnly="1" outline="0" fieldPosition="0">
        <references count="5">
          <reference field="0" count="1" selected="0">
            <x v="29"/>
          </reference>
          <reference field="2" count="1" selected="0">
            <x v="3"/>
          </reference>
          <reference field="3" count="1" selected="0">
            <x v="13"/>
          </reference>
          <reference field="8" count="1" selected="0">
            <x v="7"/>
          </reference>
          <reference field="10" count="1">
            <x v="27"/>
          </reference>
        </references>
      </pivotArea>
    </format>
    <format dxfId="383">
      <pivotArea dataOnly="0" labelOnly="1" outline="0" fieldPosition="0">
        <references count="5">
          <reference field="0" count="1" selected="0">
            <x v="30"/>
          </reference>
          <reference field="2" count="1" selected="0">
            <x v="3"/>
          </reference>
          <reference field="3" count="1" selected="0">
            <x v="13"/>
          </reference>
          <reference field="8" count="1" selected="0">
            <x v="7"/>
          </reference>
          <reference field="10" count="1">
            <x v="26"/>
          </reference>
        </references>
      </pivotArea>
    </format>
    <format dxfId="382">
      <pivotArea dataOnly="0" labelOnly="1" outline="0" fieldPosition="0">
        <references count="5">
          <reference field="0" count="1" selected="0">
            <x v="31"/>
          </reference>
          <reference field="2" count="1" selected="0">
            <x v="3"/>
          </reference>
          <reference field="3" count="1" selected="0">
            <x v="14"/>
          </reference>
          <reference field="8" count="1" selected="0">
            <x v="7"/>
          </reference>
          <reference field="10" count="1">
            <x v="25"/>
          </reference>
        </references>
      </pivotArea>
    </format>
    <format dxfId="381">
      <pivotArea dataOnly="0" labelOnly="1" outline="0" fieldPosition="0">
        <references count="5">
          <reference field="0" count="1" selected="0">
            <x v="32"/>
          </reference>
          <reference field="2" count="1" selected="0">
            <x v="0"/>
          </reference>
          <reference field="3" count="1" selected="0">
            <x v="15"/>
          </reference>
          <reference field="8" count="1" selected="0">
            <x v="2"/>
          </reference>
          <reference field="10" count="1">
            <x v="30"/>
          </reference>
        </references>
      </pivotArea>
    </format>
    <format dxfId="380">
      <pivotArea dataOnly="0" labelOnly="1" outline="0" fieldPosition="0">
        <references count="5">
          <reference field="0" count="1" selected="0">
            <x v="33"/>
          </reference>
          <reference field="2" count="1" selected="0">
            <x v="0"/>
          </reference>
          <reference field="3" count="1" selected="0">
            <x v="16"/>
          </reference>
          <reference field="8" count="1" selected="0">
            <x v="3"/>
          </reference>
          <reference field="10" count="1">
            <x v="29"/>
          </reference>
        </references>
      </pivotArea>
    </format>
    <format dxfId="379">
      <pivotArea dataOnly="0" labelOnly="1" outline="0" fieldPosition="0">
        <references count="5">
          <reference field="0" count="1" selected="0">
            <x v="34"/>
          </reference>
          <reference field="2" count="1" selected="0">
            <x v="3"/>
          </reference>
          <reference field="3" count="1" selected="0">
            <x v="16"/>
          </reference>
          <reference field="8" count="1" selected="0">
            <x v="4"/>
          </reference>
          <reference field="10" count="1">
            <x v="31"/>
          </reference>
        </references>
      </pivotArea>
    </format>
    <format dxfId="378">
      <pivotArea dataOnly="0" labelOnly="1" outline="0" fieldPosition="0">
        <references count="5">
          <reference field="0" count="1" selected="0">
            <x v="36"/>
          </reference>
          <reference field="2" count="1" selected="0">
            <x v="4"/>
          </reference>
          <reference field="3" count="1" selected="0">
            <x v="17"/>
          </reference>
          <reference field="8" count="1" selected="0">
            <x v="7"/>
          </reference>
          <reference field="10" count="1">
            <x v="32"/>
          </reference>
        </references>
      </pivotArea>
    </format>
    <format dxfId="377">
      <pivotArea dataOnly="0" labelOnly="1" outline="0" fieldPosition="0">
        <references count="6">
          <reference field="0" count="1" selected="0">
            <x v="0"/>
          </reference>
          <reference field="2" count="1" selected="0">
            <x v="3"/>
          </reference>
          <reference field="3" count="1" selected="0">
            <x v="0"/>
          </reference>
          <reference field="8" count="1" selected="0">
            <x v="7"/>
          </reference>
          <reference field="10" count="1" selected="0">
            <x v="4"/>
          </reference>
          <reference field="20" count="1">
            <x v="6"/>
          </reference>
        </references>
      </pivotArea>
    </format>
    <format dxfId="376">
      <pivotArea dataOnly="0" labelOnly="1" outline="0" fieldPosition="0">
        <references count="6">
          <reference field="0" count="1" selected="0">
            <x v="1"/>
          </reference>
          <reference field="2" count="1" selected="0">
            <x v="3"/>
          </reference>
          <reference field="3" count="1" selected="0">
            <x v="0"/>
          </reference>
          <reference field="8" count="1" selected="0">
            <x v="7"/>
          </reference>
          <reference field="10" count="1" selected="0">
            <x v="3"/>
          </reference>
          <reference field="20" count="1">
            <x v="6"/>
          </reference>
        </references>
      </pivotArea>
    </format>
    <format dxfId="375">
      <pivotArea dataOnly="0" labelOnly="1" outline="0" fieldPosition="0">
        <references count="6">
          <reference field="0" count="1" selected="0">
            <x v="2"/>
          </reference>
          <reference field="2" count="1" selected="0">
            <x v="3"/>
          </reference>
          <reference field="3" count="1" selected="0">
            <x v="0"/>
          </reference>
          <reference field="8" count="1" selected="0">
            <x v="7"/>
          </reference>
          <reference field="10" count="1" selected="0">
            <x v="5"/>
          </reference>
          <reference field="20" count="1">
            <x v="6"/>
          </reference>
        </references>
      </pivotArea>
    </format>
    <format dxfId="374">
      <pivotArea dataOnly="0" labelOnly="1" outline="0" fieldPosition="0">
        <references count="6">
          <reference field="0" count="1" selected="0">
            <x v="3"/>
          </reference>
          <reference field="2" count="1" selected="0">
            <x v="3"/>
          </reference>
          <reference field="3" count="1" selected="0">
            <x v="0"/>
          </reference>
          <reference field="8" count="1" selected="0">
            <x v="7"/>
          </reference>
          <reference field="10" count="1" selected="0">
            <x v="0"/>
          </reference>
          <reference field="20" count="1">
            <x v="6"/>
          </reference>
        </references>
      </pivotArea>
    </format>
    <format dxfId="373">
      <pivotArea dataOnly="0" labelOnly="1" outline="0" fieldPosition="0">
        <references count="6">
          <reference field="0" count="1" selected="0">
            <x v="4"/>
          </reference>
          <reference field="2" count="1" selected="0">
            <x v="3"/>
          </reference>
          <reference field="3" count="1" selected="0">
            <x v="0"/>
          </reference>
          <reference field="8" count="1" selected="0">
            <x v="7"/>
          </reference>
          <reference field="10" count="1" selected="0">
            <x v="1"/>
          </reference>
          <reference field="20" count="1">
            <x v="6"/>
          </reference>
        </references>
      </pivotArea>
    </format>
    <format dxfId="372">
      <pivotArea dataOnly="0" labelOnly="1" outline="0" fieldPosition="0">
        <references count="6">
          <reference field="0" count="1" selected="0">
            <x v="5"/>
          </reference>
          <reference field="2" count="1" selected="0">
            <x v="3"/>
          </reference>
          <reference field="3" count="1" selected="0">
            <x v="1"/>
          </reference>
          <reference field="8" count="1" selected="0">
            <x v="7"/>
          </reference>
          <reference field="10" count="1" selected="0">
            <x v="1"/>
          </reference>
          <reference field="20" count="1">
            <x v="6"/>
          </reference>
        </references>
      </pivotArea>
    </format>
    <format dxfId="371">
      <pivotArea dataOnly="0" labelOnly="1" outline="0" fieldPosition="0">
        <references count="6">
          <reference field="0" count="1" selected="0">
            <x v="6"/>
          </reference>
          <reference field="2" count="1" selected="0">
            <x v="3"/>
          </reference>
          <reference field="3" count="1" selected="0">
            <x v="1"/>
          </reference>
          <reference field="8" count="1" selected="0">
            <x v="7"/>
          </reference>
          <reference field="10" count="1" selected="0">
            <x v="2"/>
          </reference>
          <reference field="20" count="1">
            <x v="6"/>
          </reference>
        </references>
      </pivotArea>
    </format>
    <format dxfId="370">
      <pivotArea dataOnly="0" labelOnly="1" outline="0" fieldPosition="0">
        <references count="6">
          <reference field="0" count="1" selected="0">
            <x v="7"/>
          </reference>
          <reference field="2" count="1" selected="0">
            <x v="3"/>
          </reference>
          <reference field="3" count="1" selected="0">
            <x v="1"/>
          </reference>
          <reference field="8" count="1" selected="0">
            <x v="7"/>
          </reference>
          <reference field="10" count="1" selected="0">
            <x v="6"/>
          </reference>
          <reference field="20" count="1">
            <x v="6"/>
          </reference>
        </references>
      </pivotArea>
    </format>
    <format dxfId="369">
      <pivotArea dataOnly="0" labelOnly="1" outline="0" fieldPosition="0">
        <references count="6">
          <reference field="0" count="1" selected="0">
            <x v="8"/>
          </reference>
          <reference field="2" count="1" selected="0">
            <x v="3"/>
          </reference>
          <reference field="3" count="1" selected="0">
            <x v="1"/>
          </reference>
          <reference field="8" count="1" selected="0">
            <x v="7"/>
          </reference>
          <reference field="10" count="1" selected="0">
            <x v="5"/>
          </reference>
          <reference field="20" count="1">
            <x v="6"/>
          </reference>
        </references>
      </pivotArea>
    </format>
    <format dxfId="368">
      <pivotArea dataOnly="0" labelOnly="1" outline="0" fieldPosition="0">
        <references count="6">
          <reference field="0" count="1" selected="0">
            <x v="9"/>
          </reference>
          <reference field="2" count="1" selected="0">
            <x v="3"/>
          </reference>
          <reference field="3" count="1" selected="0">
            <x v="3"/>
          </reference>
          <reference field="8" count="1" selected="0">
            <x v="7"/>
          </reference>
          <reference field="10" count="1" selected="0">
            <x v="8"/>
          </reference>
          <reference field="20" count="1">
            <x v="6"/>
          </reference>
        </references>
      </pivotArea>
    </format>
    <format dxfId="367">
      <pivotArea dataOnly="0" labelOnly="1" outline="0" fieldPosition="0">
        <references count="6">
          <reference field="0" count="1" selected="0">
            <x v="10"/>
          </reference>
          <reference field="2" count="1" selected="0">
            <x v="3"/>
          </reference>
          <reference field="3" count="1" selected="0">
            <x v="3"/>
          </reference>
          <reference field="8" count="1" selected="0">
            <x v="7"/>
          </reference>
          <reference field="10" count="1" selected="0">
            <x v="7"/>
          </reference>
          <reference field="20" count="1">
            <x v="6"/>
          </reference>
        </references>
      </pivotArea>
    </format>
    <format dxfId="366">
      <pivotArea dataOnly="0" labelOnly="1" outline="0" fieldPosition="0">
        <references count="6">
          <reference field="0" count="1" selected="0">
            <x v="11"/>
          </reference>
          <reference field="2" count="1" selected="0">
            <x v="3"/>
          </reference>
          <reference field="3" count="1" selected="0">
            <x v="3"/>
          </reference>
          <reference field="8" count="1" selected="0">
            <x v="7"/>
          </reference>
          <reference field="10" count="1" selected="0">
            <x v="9"/>
          </reference>
          <reference field="20" count="1">
            <x v="6"/>
          </reference>
        </references>
      </pivotArea>
    </format>
    <format dxfId="365">
      <pivotArea dataOnly="0" labelOnly="1" outline="0" fieldPosition="0">
        <references count="6">
          <reference field="0" count="1" selected="0">
            <x v="12"/>
          </reference>
          <reference field="2" count="1" selected="0">
            <x v="3"/>
          </reference>
          <reference field="3" count="1" selected="0">
            <x v="2"/>
          </reference>
          <reference field="8" count="1" selected="0">
            <x v="7"/>
          </reference>
          <reference field="10" count="1" selected="0">
            <x v="7"/>
          </reference>
          <reference field="20" count="1">
            <x v="6"/>
          </reference>
        </references>
      </pivotArea>
    </format>
    <format dxfId="364">
      <pivotArea dataOnly="0" labelOnly="1" outline="0" fieldPosition="0">
        <references count="6">
          <reference field="0" count="1" selected="0">
            <x v="13"/>
          </reference>
          <reference field="2" count="1" selected="0">
            <x v="3"/>
          </reference>
          <reference field="3" count="1" selected="0">
            <x v="2"/>
          </reference>
          <reference field="8" count="1" selected="0">
            <x v="7"/>
          </reference>
          <reference field="10" count="1" selected="0">
            <x v="9"/>
          </reference>
          <reference field="20" count="1">
            <x v="6"/>
          </reference>
        </references>
      </pivotArea>
    </format>
    <format dxfId="363">
      <pivotArea dataOnly="0" labelOnly="1" outline="0" fieldPosition="0">
        <references count="6">
          <reference field="0" count="1" selected="0">
            <x v="14"/>
          </reference>
          <reference field="2" count="1" selected="0">
            <x v="3"/>
          </reference>
          <reference field="3" count="1" selected="0">
            <x v="2"/>
          </reference>
          <reference field="8" count="1" selected="0">
            <x v="7"/>
          </reference>
          <reference field="10" count="1" selected="0">
            <x v="10"/>
          </reference>
          <reference field="20" count="1">
            <x v="6"/>
          </reference>
        </references>
      </pivotArea>
    </format>
    <format dxfId="362">
      <pivotArea dataOnly="0" labelOnly="1" outline="0" fieldPosition="0">
        <references count="6">
          <reference field="0" count="1" selected="0">
            <x v="15"/>
          </reference>
          <reference field="2" count="1" selected="0">
            <x v="3"/>
          </reference>
          <reference field="3" count="1" selected="0">
            <x v="4"/>
          </reference>
          <reference field="8" count="1" selected="0">
            <x v="7"/>
          </reference>
          <reference field="10" count="1" selected="0">
            <x v="12"/>
          </reference>
          <reference field="20" count="1">
            <x v="6"/>
          </reference>
        </references>
      </pivotArea>
    </format>
    <format dxfId="361">
      <pivotArea dataOnly="0" labelOnly="1" outline="0" fieldPosition="0">
        <references count="6">
          <reference field="0" count="1" selected="0">
            <x v="16"/>
          </reference>
          <reference field="2" count="1" selected="0">
            <x v="3"/>
          </reference>
          <reference field="3" count="1" selected="0">
            <x v="4"/>
          </reference>
          <reference field="8" count="1" selected="0">
            <x v="7"/>
          </reference>
          <reference field="10" count="1" selected="0">
            <x v="16"/>
          </reference>
          <reference field="20" count="1">
            <x v="6"/>
          </reference>
        </references>
      </pivotArea>
    </format>
    <format dxfId="360">
      <pivotArea dataOnly="0" labelOnly="1" outline="0" fieldPosition="0">
        <references count="6">
          <reference field="0" count="1" selected="0">
            <x v="17"/>
          </reference>
          <reference field="2" count="1" selected="0">
            <x v="3"/>
          </reference>
          <reference field="3" count="1" selected="0">
            <x v="5"/>
          </reference>
          <reference field="8" count="1" selected="0">
            <x v="7"/>
          </reference>
          <reference field="10" count="1" selected="0">
            <x v="14"/>
          </reference>
          <reference field="20" count="1">
            <x v="6"/>
          </reference>
        </references>
      </pivotArea>
    </format>
    <format dxfId="359">
      <pivotArea dataOnly="0" labelOnly="1" outline="0" fieldPosition="0">
        <references count="6">
          <reference field="0" count="1" selected="0">
            <x v="18"/>
          </reference>
          <reference field="2" count="1" selected="0">
            <x v="3"/>
          </reference>
          <reference field="3" count="1" selected="0">
            <x v="5"/>
          </reference>
          <reference field="8" count="1" selected="0">
            <x v="7"/>
          </reference>
          <reference field="10" count="1" selected="0">
            <x v="13"/>
          </reference>
          <reference field="20" count="1">
            <x v="6"/>
          </reference>
        </references>
      </pivotArea>
    </format>
    <format dxfId="358">
      <pivotArea dataOnly="0" labelOnly="1" outline="0" fieldPosition="0">
        <references count="6">
          <reference field="0" count="1" selected="0">
            <x v="18"/>
          </reference>
          <reference field="2" count="1" selected="0">
            <x v="3"/>
          </reference>
          <reference field="3" count="1" selected="0">
            <x v="6"/>
          </reference>
          <reference field="8" count="1" selected="0">
            <x v="7"/>
          </reference>
          <reference field="10" count="1" selected="0">
            <x v="15"/>
          </reference>
          <reference field="20" count="1">
            <x v="6"/>
          </reference>
        </references>
      </pivotArea>
    </format>
    <format dxfId="357">
      <pivotArea dataOnly="0" labelOnly="1" outline="0" fieldPosition="0">
        <references count="6">
          <reference field="0" count="1" selected="0">
            <x v="19"/>
          </reference>
          <reference field="2" count="1" selected="0">
            <x v="3"/>
          </reference>
          <reference field="3" count="1" selected="0">
            <x v="7"/>
          </reference>
          <reference field="8" count="1" selected="0">
            <x v="7"/>
          </reference>
          <reference field="10" count="1" selected="0">
            <x v="17"/>
          </reference>
          <reference field="20" count="1">
            <x v="6"/>
          </reference>
        </references>
      </pivotArea>
    </format>
    <format dxfId="356">
      <pivotArea dataOnly="0" labelOnly="1" outline="0" fieldPosition="0">
        <references count="6">
          <reference field="0" count="1" selected="0">
            <x v="21"/>
          </reference>
          <reference field="2" count="1" selected="0">
            <x v="3"/>
          </reference>
          <reference field="3" count="1" selected="0">
            <x v="8"/>
          </reference>
          <reference field="8" count="1" selected="0">
            <x v="7"/>
          </reference>
          <reference field="10" count="1" selected="0">
            <x v="23"/>
          </reference>
          <reference field="20" count="1">
            <x v="6"/>
          </reference>
        </references>
      </pivotArea>
    </format>
    <format dxfId="355">
      <pivotArea dataOnly="0" labelOnly="1" outline="0" fieldPosition="0">
        <references count="6">
          <reference field="0" count="1" selected="0">
            <x v="23"/>
          </reference>
          <reference field="2" count="1" selected="0">
            <x v="3"/>
          </reference>
          <reference field="3" count="1" selected="0">
            <x v="9"/>
          </reference>
          <reference field="8" count="1" selected="0">
            <x v="7"/>
          </reference>
          <reference field="10" count="1" selected="0">
            <x v="21"/>
          </reference>
          <reference field="20" count="1">
            <x v="1"/>
          </reference>
        </references>
      </pivotArea>
    </format>
    <format dxfId="354">
      <pivotArea dataOnly="0" labelOnly="1" outline="0" fieldPosition="0">
        <references count="6">
          <reference field="0" count="1" selected="0">
            <x v="24"/>
          </reference>
          <reference field="2" count="1" selected="0">
            <x v="3"/>
          </reference>
          <reference field="3" count="1" selected="0">
            <x v="9"/>
          </reference>
          <reference field="8" count="1" selected="0">
            <x v="7"/>
          </reference>
          <reference field="10" count="1" selected="0">
            <x v="19"/>
          </reference>
          <reference field="20" count="1">
            <x v="6"/>
          </reference>
        </references>
      </pivotArea>
    </format>
    <format dxfId="353">
      <pivotArea dataOnly="0" labelOnly="1" outline="0" fieldPosition="0">
        <references count="6">
          <reference field="0" count="1" selected="0">
            <x v="25"/>
          </reference>
          <reference field="2" count="1" selected="0">
            <x v="3"/>
          </reference>
          <reference field="3" count="1" selected="0">
            <x v="9"/>
          </reference>
          <reference field="8" count="1" selected="0">
            <x v="7"/>
          </reference>
          <reference field="10" count="1" selected="0">
            <x v="11"/>
          </reference>
          <reference field="20" count="1">
            <x v="6"/>
          </reference>
        </references>
      </pivotArea>
    </format>
    <format dxfId="352">
      <pivotArea dataOnly="0" labelOnly="1" outline="0" fieldPosition="0">
        <references count="6">
          <reference field="0" count="1" selected="0">
            <x v="26"/>
          </reference>
          <reference field="2" count="1" selected="0">
            <x v="3"/>
          </reference>
          <reference field="3" count="1" selected="0">
            <x v="10"/>
          </reference>
          <reference field="8" count="1" selected="0">
            <x v="7"/>
          </reference>
          <reference field="10" count="1" selected="0">
            <x v="22"/>
          </reference>
          <reference field="20" count="1">
            <x v="6"/>
          </reference>
        </references>
      </pivotArea>
    </format>
    <format dxfId="351">
      <pivotArea dataOnly="0" labelOnly="1" outline="0" fieldPosition="0">
        <references count="6">
          <reference field="0" count="1" selected="0">
            <x v="28"/>
          </reference>
          <reference field="2" count="1" selected="0">
            <x v="3"/>
          </reference>
          <reference field="3" count="1" selected="0">
            <x v="12"/>
          </reference>
          <reference field="8" count="1" selected="0">
            <x v="7"/>
          </reference>
          <reference field="10" count="1" selected="0">
            <x v="28"/>
          </reference>
          <reference field="20" count="1">
            <x v="6"/>
          </reference>
        </references>
      </pivotArea>
    </format>
    <format dxfId="350">
      <pivotArea dataOnly="0" labelOnly="1" outline="0" fieldPosition="0">
        <references count="6">
          <reference field="0" count="1" selected="0">
            <x v="29"/>
          </reference>
          <reference field="2" count="1" selected="0">
            <x v="3"/>
          </reference>
          <reference field="3" count="1" selected="0">
            <x v="13"/>
          </reference>
          <reference field="8" count="1" selected="0">
            <x v="7"/>
          </reference>
          <reference field="10" count="1" selected="0">
            <x v="27"/>
          </reference>
          <reference field="20" count="1">
            <x v="6"/>
          </reference>
        </references>
      </pivotArea>
    </format>
    <format dxfId="349">
      <pivotArea dataOnly="0" labelOnly="1" outline="0" fieldPosition="0">
        <references count="6">
          <reference field="0" count="1" selected="0">
            <x v="30"/>
          </reference>
          <reference field="2" count="1" selected="0">
            <x v="3"/>
          </reference>
          <reference field="3" count="1" selected="0">
            <x v="13"/>
          </reference>
          <reference field="8" count="1" selected="0">
            <x v="7"/>
          </reference>
          <reference field="10" count="1" selected="0">
            <x v="26"/>
          </reference>
          <reference field="20" count="1">
            <x v="6"/>
          </reference>
        </references>
      </pivotArea>
    </format>
    <format dxfId="348">
      <pivotArea dataOnly="0" labelOnly="1" outline="0" fieldPosition="0">
        <references count="6">
          <reference field="0" count="1" selected="0">
            <x v="31"/>
          </reference>
          <reference field="2" count="1" selected="0">
            <x v="3"/>
          </reference>
          <reference field="3" count="1" selected="0">
            <x v="14"/>
          </reference>
          <reference field="8" count="1" selected="0">
            <x v="7"/>
          </reference>
          <reference field="10" count="1" selected="0">
            <x v="25"/>
          </reference>
          <reference field="20" count="1">
            <x v="6"/>
          </reference>
        </references>
      </pivotArea>
    </format>
    <format dxfId="347">
      <pivotArea dataOnly="0" labelOnly="1" outline="0" fieldPosition="0">
        <references count="6">
          <reference field="0" count="1" selected="0">
            <x v="33"/>
          </reference>
          <reference field="2" count="1" selected="0">
            <x v="0"/>
          </reference>
          <reference field="3" count="1" selected="0">
            <x v="16"/>
          </reference>
          <reference field="8" count="1" selected="0">
            <x v="3"/>
          </reference>
          <reference field="10" count="1" selected="0">
            <x v="29"/>
          </reference>
          <reference field="20" count="1">
            <x v="6"/>
          </reference>
        </references>
      </pivotArea>
    </format>
    <format dxfId="346">
      <pivotArea dataOnly="0" labelOnly="1" outline="0" fieldPosition="0">
        <references count="6">
          <reference field="0" count="1" selected="0">
            <x v="34"/>
          </reference>
          <reference field="2" count="1" selected="0">
            <x v="3"/>
          </reference>
          <reference field="3" count="1" selected="0">
            <x v="16"/>
          </reference>
          <reference field="8" count="1" selected="0">
            <x v="4"/>
          </reference>
          <reference field="10" count="1" selected="0">
            <x v="31"/>
          </reference>
          <reference field="20" count="1">
            <x v="6"/>
          </reference>
        </references>
      </pivotArea>
    </format>
    <format dxfId="345">
      <pivotArea dataOnly="0" labelOnly="1" outline="0" fieldPosition="0">
        <references count="6">
          <reference field="0" count="1" selected="0">
            <x v="36"/>
          </reference>
          <reference field="2" count="1" selected="0">
            <x v="4"/>
          </reference>
          <reference field="3" count="1" selected="0">
            <x v="17"/>
          </reference>
          <reference field="8" count="1" selected="0">
            <x v="7"/>
          </reference>
          <reference field="10" count="1" selected="0">
            <x v="32"/>
          </reference>
          <reference field="20" count="1">
            <x v="6"/>
          </reference>
        </references>
      </pivotArea>
    </format>
    <format dxfId="344">
      <pivotArea dataOnly="0" labelOnly="1" outline="0" fieldPosition="0">
        <references count="1">
          <reference field="0" count="5">
            <x v="20"/>
            <x v="22"/>
            <x v="27"/>
            <x v="32"/>
            <x v="33"/>
          </reference>
        </references>
      </pivotArea>
    </format>
    <format dxfId="343">
      <pivotArea dataOnly="0" labelOnly="1" outline="0" fieldPosition="0">
        <references count="1">
          <reference field="0" count="5">
            <x v="20"/>
            <x v="22"/>
            <x v="27"/>
            <x v="32"/>
            <x v="33"/>
          </reference>
        </references>
      </pivotArea>
    </format>
    <format dxfId="342">
      <pivotArea field="20" type="button" dataOnly="0" labelOnly="1" outline="0" axis="axisRow" fieldPosition="5"/>
    </format>
    <format dxfId="341">
      <pivotArea dataOnly="0" labelOnly="1" outline="0" fieldPosition="0">
        <references count="6">
          <reference field="0" count="1" selected="0">
            <x v="20"/>
          </reference>
          <reference field="2" count="1" selected="0">
            <x v="1"/>
          </reference>
          <reference field="3" count="1" selected="0">
            <x v="8"/>
          </reference>
          <reference field="8" count="1" selected="0">
            <x v="1"/>
          </reference>
          <reference field="10" count="1" selected="0">
            <x v="18"/>
          </reference>
          <reference field="20" count="1">
            <x v="5"/>
          </reference>
        </references>
      </pivotArea>
    </format>
    <format dxfId="340">
      <pivotArea dataOnly="0" labelOnly="1" outline="0" fieldPosition="0">
        <references count="6">
          <reference field="0" count="1" selected="0">
            <x v="22"/>
          </reference>
          <reference field="2" count="1" selected="0">
            <x v="1"/>
          </reference>
          <reference field="3" count="1" selected="0">
            <x v="9"/>
          </reference>
          <reference field="8" count="1" selected="0">
            <x v="0"/>
          </reference>
          <reference field="10" count="1" selected="0">
            <x v="20"/>
          </reference>
          <reference field="20" count="1">
            <x v="3"/>
          </reference>
        </references>
      </pivotArea>
    </format>
    <format dxfId="339">
      <pivotArea dataOnly="0" labelOnly="1" outline="0" fieldPosition="0">
        <references count="6">
          <reference field="0" count="1" selected="0">
            <x v="27"/>
          </reference>
          <reference field="2" count="1" selected="0">
            <x v="2"/>
          </reference>
          <reference field="3" count="1" selected="0">
            <x v="11"/>
          </reference>
          <reference field="8" count="1" selected="0">
            <x v="6"/>
          </reference>
          <reference field="10" count="1" selected="0">
            <x v="24"/>
          </reference>
          <reference field="20" count="1">
            <x v="2"/>
          </reference>
        </references>
      </pivotArea>
    </format>
    <format dxfId="338">
      <pivotArea dataOnly="0" labelOnly="1" outline="0" fieldPosition="0">
        <references count="6">
          <reference field="0" count="1" selected="0">
            <x v="32"/>
          </reference>
          <reference field="2" count="1" selected="0">
            <x v="0"/>
          </reference>
          <reference field="3" count="1" selected="0">
            <x v="15"/>
          </reference>
          <reference field="8" count="1" selected="0">
            <x v="2"/>
          </reference>
          <reference field="10" count="1" selected="0">
            <x v="30"/>
          </reference>
          <reference field="20" count="1">
            <x v="0"/>
          </reference>
        </references>
      </pivotArea>
    </format>
    <format dxfId="337">
      <pivotArea dataOnly="0" labelOnly="1" outline="0" fieldPosition="0">
        <references count="6">
          <reference field="0" count="1" selected="0">
            <x v="33"/>
          </reference>
          <reference field="2" count="1" selected="0">
            <x v="0"/>
          </reference>
          <reference field="3" count="1" selected="0">
            <x v="16"/>
          </reference>
          <reference field="8" count="1" selected="0">
            <x v="3"/>
          </reference>
          <reference field="10" count="1" selected="0">
            <x v="29"/>
          </reference>
          <reference field="20" count="1">
            <x v="7"/>
          </reference>
        </references>
      </pivotArea>
    </format>
    <format dxfId="336">
      <pivotArea field="20" type="button" dataOnly="0" labelOnly="1" outline="0" axis="axisRow" fieldPosition="5"/>
    </format>
    <format dxfId="335">
      <pivotArea dataOnly="0" labelOnly="1" outline="0" fieldPosition="0">
        <references count="6">
          <reference field="0" count="1" selected="0">
            <x v="20"/>
          </reference>
          <reference field="2" count="1" selected="0">
            <x v="1"/>
          </reference>
          <reference field="3" count="1" selected="0">
            <x v="8"/>
          </reference>
          <reference field="8" count="1" selected="0">
            <x v="1"/>
          </reference>
          <reference field="10" count="1" selected="0">
            <x v="18"/>
          </reference>
          <reference field="20" count="1">
            <x v="5"/>
          </reference>
        </references>
      </pivotArea>
    </format>
    <format dxfId="334">
      <pivotArea dataOnly="0" labelOnly="1" outline="0" fieldPosition="0">
        <references count="6">
          <reference field="0" count="1" selected="0">
            <x v="22"/>
          </reference>
          <reference field="2" count="1" selected="0">
            <x v="1"/>
          </reference>
          <reference field="3" count="1" selected="0">
            <x v="9"/>
          </reference>
          <reference field="8" count="1" selected="0">
            <x v="0"/>
          </reference>
          <reference field="10" count="1" selected="0">
            <x v="20"/>
          </reference>
          <reference field="20" count="1">
            <x v="3"/>
          </reference>
        </references>
      </pivotArea>
    </format>
    <format dxfId="333">
      <pivotArea dataOnly="0" labelOnly="1" outline="0" fieldPosition="0">
        <references count="6">
          <reference field="0" count="1" selected="0">
            <x v="27"/>
          </reference>
          <reference field="2" count="1" selected="0">
            <x v="2"/>
          </reference>
          <reference field="3" count="1" selected="0">
            <x v="11"/>
          </reference>
          <reference field="8" count="1" selected="0">
            <x v="6"/>
          </reference>
          <reference field="10" count="1" selected="0">
            <x v="24"/>
          </reference>
          <reference field="20" count="1">
            <x v="2"/>
          </reference>
        </references>
      </pivotArea>
    </format>
    <format dxfId="332">
      <pivotArea dataOnly="0" labelOnly="1" outline="0" fieldPosition="0">
        <references count="6">
          <reference field="0" count="1" selected="0">
            <x v="32"/>
          </reference>
          <reference field="2" count="1" selected="0">
            <x v="0"/>
          </reference>
          <reference field="3" count="1" selected="0">
            <x v="15"/>
          </reference>
          <reference field="8" count="1" selected="0">
            <x v="2"/>
          </reference>
          <reference field="10" count="1" selected="0">
            <x v="30"/>
          </reference>
          <reference field="20" count="1">
            <x v="0"/>
          </reference>
        </references>
      </pivotArea>
    </format>
    <format dxfId="331">
      <pivotArea dataOnly="0" labelOnly="1" outline="0" fieldPosition="0">
        <references count="6">
          <reference field="0" count="1" selected="0">
            <x v="33"/>
          </reference>
          <reference field="2" count="1" selected="0">
            <x v="0"/>
          </reference>
          <reference field="3" count="1" selected="0">
            <x v="16"/>
          </reference>
          <reference field="8" count="1" selected="0">
            <x v="3"/>
          </reference>
          <reference field="10" count="1" selected="0">
            <x v="29"/>
          </reference>
          <reference field="20" count="1">
            <x v="7"/>
          </reference>
        </references>
      </pivotArea>
    </format>
    <format dxfId="330">
      <pivotArea field="2" type="button" dataOnly="0" labelOnly="1" outline="0" axis="axisRow" fieldPosition="1"/>
    </format>
    <format dxfId="329">
      <pivotArea dataOnly="0" labelOnly="1" outline="0" fieldPosition="0">
        <references count="2">
          <reference field="0" count="1" selected="0">
            <x v="20"/>
          </reference>
          <reference field="2" count="1">
            <x v="1"/>
          </reference>
        </references>
      </pivotArea>
    </format>
    <format dxfId="328">
      <pivotArea dataOnly="0" labelOnly="1" outline="0" fieldPosition="0">
        <references count="2">
          <reference field="0" count="1" selected="0">
            <x v="27"/>
          </reference>
          <reference field="2" count="1">
            <x v="2"/>
          </reference>
        </references>
      </pivotArea>
    </format>
    <format dxfId="327">
      <pivotArea dataOnly="0" labelOnly="1" outline="0" fieldPosition="0">
        <references count="2">
          <reference field="0" count="1" selected="0">
            <x v="32"/>
          </reference>
          <reference field="2" count="1">
            <x v="0"/>
          </reference>
        </references>
      </pivotArea>
    </format>
    <format dxfId="326">
      <pivotArea dataOnly="0" labelOnly="1" outline="0" fieldPosition="0">
        <references count="1">
          <reference field="0" count="5">
            <x v="20"/>
            <x v="22"/>
            <x v="27"/>
            <x v="32"/>
            <x v="33"/>
          </reference>
        </references>
      </pivotArea>
    </format>
    <format dxfId="325">
      <pivotArea dataOnly="0" labelOnly="1" outline="0" fieldPosition="0">
        <references count="2">
          <reference field="0" count="1" selected="0">
            <x v="20"/>
          </reference>
          <reference field="2" count="1">
            <x v="1"/>
          </reference>
        </references>
      </pivotArea>
    </format>
    <format dxfId="324">
      <pivotArea dataOnly="0" labelOnly="1" outline="0" fieldPosition="0">
        <references count="2">
          <reference field="0" count="1" selected="0">
            <x v="27"/>
          </reference>
          <reference field="2" count="1">
            <x v="2"/>
          </reference>
        </references>
      </pivotArea>
    </format>
    <format dxfId="323">
      <pivotArea dataOnly="0" labelOnly="1" outline="0" fieldPosition="0">
        <references count="2">
          <reference field="0" count="1" selected="0">
            <x v="32"/>
          </reference>
          <reference field="2" count="1">
            <x v="0"/>
          </reference>
        </references>
      </pivotArea>
    </format>
    <format dxfId="322">
      <pivotArea dataOnly="0" labelOnly="1" outline="0" fieldPosition="0">
        <references count="3">
          <reference field="0" count="1" selected="0">
            <x v="20"/>
          </reference>
          <reference field="2" count="1" selected="0">
            <x v="1"/>
          </reference>
          <reference field="8" count="1">
            <x v="1"/>
          </reference>
        </references>
      </pivotArea>
    </format>
    <format dxfId="321">
      <pivotArea dataOnly="0" labelOnly="1" outline="0" fieldPosition="0">
        <references count="3">
          <reference field="0" count="1" selected="0">
            <x v="22"/>
          </reference>
          <reference field="2" count="1" selected="0">
            <x v="1"/>
          </reference>
          <reference field="8" count="1">
            <x v="0"/>
          </reference>
        </references>
      </pivotArea>
    </format>
    <format dxfId="320">
      <pivotArea dataOnly="0" labelOnly="1" outline="0" fieldPosition="0">
        <references count="3">
          <reference field="0" count="1" selected="0">
            <x v="27"/>
          </reference>
          <reference field="2" count="1" selected="0">
            <x v="2"/>
          </reference>
          <reference field="8" count="1">
            <x v="6"/>
          </reference>
        </references>
      </pivotArea>
    </format>
    <format dxfId="319">
      <pivotArea dataOnly="0" labelOnly="1" outline="0" fieldPosition="0">
        <references count="3">
          <reference field="0" count="1" selected="0">
            <x v="32"/>
          </reference>
          <reference field="2" count="1" selected="0">
            <x v="0"/>
          </reference>
          <reference field="8" count="1">
            <x v="2"/>
          </reference>
        </references>
      </pivotArea>
    </format>
    <format dxfId="318">
      <pivotArea dataOnly="0" labelOnly="1" outline="0" fieldPosition="0">
        <references count="3">
          <reference field="0" count="1" selected="0">
            <x v="33"/>
          </reference>
          <reference field="2" count="1" selected="0">
            <x v="0"/>
          </reference>
          <reference field="8" count="1">
            <x v="3"/>
          </reference>
        </references>
      </pivotArea>
    </format>
    <format dxfId="317">
      <pivotArea dataOnly="0" labelOnly="1" outline="0" fieldPosition="0">
        <references count="4">
          <reference field="0" count="1" selected="0">
            <x v="20"/>
          </reference>
          <reference field="2" count="1" selected="0">
            <x v="1"/>
          </reference>
          <reference field="3" count="1">
            <x v="8"/>
          </reference>
          <reference field="8" count="1" selected="0">
            <x v="1"/>
          </reference>
        </references>
      </pivotArea>
    </format>
    <format dxfId="316">
      <pivotArea dataOnly="0" labelOnly="1" outline="0" fieldPosition="0">
        <references count="4">
          <reference field="0" count="1" selected="0">
            <x v="22"/>
          </reference>
          <reference field="2" count="1" selected="0">
            <x v="1"/>
          </reference>
          <reference field="3" count="1">
            <x v="9"/>
          </reference>
          <reference field="8" count="1" selected="0">
            <x v="0"/>
          </reference>
        </references>
      </pivotArea>
    </format>
    <format dxfId="315">
      <pivotArea dataOnly="0" labelOnly="1" outline="0" fieldPosition="0">
        <references count="4">
          <reference field="0" count="1" selected="0">
            <x v="27"/>
          </reference>
          <reference field="2" count="1" selected="0">
            <x v="2"/>
          </reference>
          <reference field="3" count="1">
            <x v="11"/>
          </reference>
          <reference field="8" count="1" selected="0">
            <x v="6"/>
          </reference>
        </references>
      </pivotArea>
    </format>
    <format dxfId="314">
      <pivotArea dataOnly="0" labelOnly="1" outline="0" fieldPosition="0">
        <references count="4">
          <reference field="0" count="1" selected="0">
            <x v="32"/>
          </reference>
          <reference field="2" count="1" selected="0">
            <x v="0"/>
          </reference>
          <reference field="3" count="1">
            <x v="15"/>
          </reference>
          <reference field="8" count="1" selected="0">
            <x v="2"/>
          </reference>
        </references>
      </pivotArea>
    </format>
    <format dxfId="313">
      <pivotArea dataOnly="0" labelOnly="1" outline="0" fieldPosition="0">
        <references count="4">
          <reference field="0" count="1" selected="0">
            <x v="33"/>
          </reference>
          <reference field="2" count="1" selected="0">
            <x v="0"/>
          </reference>
          <reference field="3" count="1">
            <x v="16"/>
          </reference>
          <reference field="8" count="1" selected="0">
            <x v="3"/>
          </reference>
        </references>
      </pivotArea>
    </format>
    <format dxfId="312">
      <pivotArea dataOnly="0" labelOnly="1" outline="0" fieldPosition="0">
        <references count="5">
          <reference field="0" count="1" selected="0">
            <x v="20"/>
          </reference>
          <reference field="2" count="1" selected="0">
            <x v="1"/>
          </reference>
          <reference field="3" count="1" selected="0">
            <x v="8"/>
          </reference>
          <reference field="8" count="1" selected="0">
            <x v="1"/>
          </reference>
          <reference field="10" count="1">
            <x v="18"/>
          </reference>
        </references>
      </pivotArea>
    </format>
    <format dxfId="311">
      <pivotArea dataOnly="0" labelOnly="1" outline="0" fieldPosition="0">
        <references count="5">
          <reference field="0" count="1" selected="0">
            <x v="22"/>
          </reference>
          <reference field="2" count="1" selected="0">
            <x v="1"/>
          </reference>
          <reference field="3" count="1" selected="0">
            <x v="9"/>
          </reference>
          <reference field="8" count="1" selected="0">
            <x v="0"/>
          </reference>
          <reference field="10" count="1">
            <x v="20"/>
          </reference>
        </references>
      </pivotArea>
    </format>
    <format dxfId="310">
      <pivotArea dataOnly="0" labelOnly="1" outline="0" fieldPosition="0">
        <references count="5">
          <reference field="0" count="1" selected="0">
            <x v="27"/>
          </reference>
          <reference field="2" count="1" selected="0">
            <x v="2"/>
          </reference>
          <reference field="3" count="1" selected="0">
            <x v="11"/>
          </reference>
          <reference field="8" count="1" selected="0">
            <x v="6"/>
          </reference>
          <reference field="10" count="1">
            <x v="24"/>
          </reference>
        </references>
      </pivotArea>
    </format>
    <format dxfId="309">
      <pivotArea dataOnly="0" labelOnly="1" outline="0" fieldPosition="0">
        <references count="5">
          <reference field="0" count="1" selected="0">
            <x v="32"/>
          </reference>
          <reference field="2" count="1" selected="0">
            <x v="0"/>
          </reference>
          <reference field="3" count="1" selected="0">
            <x v="15"/>
          </reference>
          <reference field="8" count="1" selected="0">
            <x v="2"/>
          </reference>
          <reference field="10" count="1">
            <x v="30"/>
          </reference>
        </references>
      </pivotArea>
    </format>
    <format dxfId="308">
      <pivotArea dataOnly="0" labelOnly="1" outline="0" fieldPosition="0">
        <references count="5">
          <reference field="0" count="1" selected="0">
            <x v="33"/>
          </reference>
          <reference field="2" count="1" selected="0">
            <x v="0"/>
          </reference>
          <reference field="3" count="1" selected="0">
            <x v="16"/>
          </reference>
          <reference field="8" count="1" selected="0">
            <x v="3"/>
          </reference>
          <reference field="10" count="1">
            <x v="29"/>
          </reference>
        </references>
      </pivotArea>
    </format>
    <format dxfId="307">
      <pivotArea dataOnly="0" labelOnly="1" outline="0" fieldPosition="0">
        <references count="6">
          <reference field="0" count="1" selected="0">
            <x v="20"/>
          </reference>
          <reference field="2" count="1" selected="0">
            <x v="1"/>
          </reference>
          <reference field="3" count="1" selected="0">
            <x v="8"/>
          </reference>
          <reference field="8" count="1" selected="0">
            <x v="1"/>
          </reference>
          <reference field="10" count="1" selected="0">
            <x v="18"/>
          </reference>
          <reference field="20" count="1">
            <x v="5"/>
          </reference>
        </references>
      </pivotArea>
    </format>
    <format dxfId="306">
      <pivotArea dataOnly="0" labelOnly="1" outline="0" fieldPosition="0">
        <references count="6">
          <reference field="0" count="1" selected="0">
            <x v="22"/>
          </reference>
          <reference field="2" count="1" selected="0">
            <x v="1"/>
          </reference>
          <reference field="3" count="1" selected="0">
            <x v="9"/>
          </reference>
          <reference field="8" count="1" selected="0">
            <x v="0"/>
          </reference>
          <reference field="10" count="1" selected="0">
            <x v="20"/>
          </reference>
          <reference field="20" count="1">
            <x v="3"/>
          </reference>
        </references>
      </pivotArea>
    </format>
    <format dxfId="305">
      <pivotArea dataOnly="0" labelOnly="1" outline="0" fieldPosition="0">
        <references count="6">
          <reference field="0" count="1" selected="0">
            <x v="27"/>
          </reference>
          <reference field="2" count="1" selected="0">
            <x v="2"/>
          </reference>
          <reference field="3" count="1" selected="0">
            <x v="11"/>
          </reference>
          <reference field="8" count="1" selected="0">
            <x v="6"/>
          </reference>
          <reference field="10" count="1" selected="0">
            <x v="24"/>
          </reference>
          <reference field="20" count="1">
            <x v="2"/>
          </reference>
        </references>
      </pivotArea>
    </format>
    <format dxfId="304">
      <pivotArea dataOnly="0" labelOnly="1" outline="0" fieldPosition="0">
        <references count="6">
          <reference field="0" count="1" selected="0">
            <x v="32"/>
          </reference>
          <reference field="2" count="1" selected="0">
            <x v="0"/>
          </reference>
          <reference field="3" count="1" selected="0">
            <x v="15"/>
          </reference>
          <reference field="8" count="1" selected="0">
            <x v="2"/>
          </reference>
          <reference field="10" count="1" selected="0">
            <x v="30"/>
          </reference>
          <reference field="20" count="1">
            <x v="0"/>
          </reference>
        </references>
      </pivotArea>
    </format>
    <format dxfId="303">
      <pivotArea dataOnly="0" labelOnly="1" outline="0" fieldPosition="0">
        <references count="6">
          <reference field="0" count="1" selected="0">
            <x v="33"/>
          </reference>
          <reference field="2" count="1" selected="0">
            <x v="0"/>
          </reference>
          <reference field="3" count="1" selected="0">
            <x v="16"/>
          </reference>
          <reference field="8" count="1" selected="0">
            <x v="3"/>
          </reference>
          <reference field="10" count="1" selected="0">
            <x v="29"/>
          </reference>
          <reference field="20" count="1">
            <x v="7"/>
          </reference>
        </references>
      </pivotArea>
    </format>
  </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25"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1:D34" firstHeaderRow="1" firstDataRow="1" firstDataCol="1"/>
  <pivotFields count="2">
    <pivotField axis="axisRow" showAll="0">
      <items count="35">
        <item x="7"/>
        <item x="1"/>
        <item x="23"/>
        <item x="29"/>
        <item x="5"/>
        <item x="12"/>
        <item x="2"/>
        <item x="3"/>
        <item x="24"/>
        <item x="19"/>
        <item x="21"/>
        <item x="25"/>
        <item x="27"/>
        <item x="10"/>
        <item x="17"/>
        <item x="9"/>
        <item x="20"/>
        <item x="30"/>
        <item x="0"/>
        <item x="11"/>
        <item x="18"/>
        <item x="8"/>
        <item x="6"/>
        <item x="31"/>
        <item x="13"/>
        <item x="26"/>
        <item x="22"/>
        <item x="14"/>
        <item x="15"/>
        <item x="28"/>
        <item x="4"/>
        <item x="16"/>
        <item h="1" x="33"/>
        <item h="1" x="32"/>
        <item t="default"/>
      </items>
    </pivotField>
    <pivotField showAll="0">
      <items count="4">
        <item x="0"/>
        <item x="1"/>
        <item x="2"/>
        <item t="default"/>
      </items>
    </pivotField>
  </pivotFields>
  <rowFields count="1">
    <field x="0"/>
  </rowFields>
  <rowItems count="3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ivotTable1" cacheId="53"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20">
  <location ref="A3:F9" firstHeaderRow="1" firstDataRow="2" firstDataCol="1"/>
  <pivotFields count="7">
    <pivotField axis="axisRow" showAll="0">
      <items count="7">
        <item x="1"/>
        <item x="4"/>
        <item x="0"/>
        <item x="3"/>
        <item x="2"/>
        <item x="5"/>
        <item t="default"/>
      </items>
    </pivotField>
    <pivotField showAll="0">
      <items count="7">
        <item x="2"/>
        <item m="1" x="5"/>
        <item x="1"/>
        <item x="3"/>
        <item x="0"/>
        <item x="4"/>
        <item t="default"/>
      </items>
    </pivotField>
    <pivotField showAll="0"/>
    <pivotField axis="axisCol" dataField="1" multipleItemSelectionAllowed="1" showAll="0">
      <items count="7">
        <item x="1"/>
        <item x="3"/>
        <item x="4"/>
        <item x="2"/>
        <item h="1" x="0"/>
        <item h="1" x="5"/>
        <item t="default"/>
      </items>
    </pivotField>
    <pivotField showAll="0"/>
    <pivotField showAll="0">
      <items count="6">
        <item x="0"/>
        <item x="2"/>
        <item x="3"/>
        <item x="1"/>
        <item x="4"/>
        <item t="default"/>
      </items>
    </pivotField>
    <pivotField showAll="0">
      <items count="7">
        <item x="2"/>
        <item x="4"/>
        <item x="3"/>
        <item x="1"/>
        <item x="0"/>
        <item x="5"/>
        <item t="default"/>
      </items>
    </pivotField>
  </pivotFields>
  <rowFields count="1">
    <field x="0"/>
  </rowFields>
  <rowItems count="5">
    <i>
      <x/>
    </i>
    <i>
      <x v="1"/>
    </i>
    <i>
      <x v="3"/>
    </i>
    <i>
      <x v="4"/>
    </i>
    <i t="grand">
      <x/>
    </i>
  </rowItems>
  <colFields count="1">
    <field x="3"/>
  </colFields>
  <colItems count="5">
    <i>
      <x/>
    </i>
    <i>
      <x v="1"/>
    </i>
    <i>
      <x v="2"/>
    </i>
    <i>
      <x v="3"/>
    </i>
    <i t="grand">
      <x/>
    </i>
  </colItems>
  <dataFields count="1">
    <dataField name="Count of EMD" fld="3" subtotal="count" baseField="0" baseItem="0"/>
  </dataFields>
  <chartFormats count="20">
    <chartFormat chart="0" format="14" series="1">
      <pivotArea type="data" outline="0" fieldPosition="0">
        <references count="1">
          <reference field="0" count="1" selected="0">
            <x v="1"/>
          </reference>
        </references>
      </pivotArea>
    </chartFormat>
    <chartFormat chart="0" format="15" series="1">
      <pivotArea type="data" outline="0" fieldPosition="0">
        <references count="1">
          <reference field="0" count="1" selected="0">
            <x v="2"/>
          </reference>
        </references>
      </pivotArea>
    </chartFormat>
    <chartFormat chart="0" format="16" series="1">
      <pivotArea type="data" outline="0" fieldPosition="0">
        <references count="1">
          <reference field="0" count="1" selected="0">
            <x v="3"/>
          </reference>
        </references>
      </pivotArea>
    </chartFormat>
    <chartFormat chart="0" format="17" series="1">
      <pivotArea type="data" outline="0" fieldPosition="0">
        <references count="1">
          <reference field="0" count="1" selected="0">
            <x v="4"/>
          </reference>
        </references>
      </pivotArea>
    </chartFormat>
    <chartFormat chart="0" format="18" series="1">
      <pivotArea type="data" outline="0" fieldPosition="0">
        <references count="1">
          <reference field="0" count="1" selected="0">
            <x v="5"/>
          </reference>
        </references>
      </pivotArea>
    </chartFormat>
    <chartFormat chart="0" format="19" series="1">
      <pivotArea type="data" outline="0" fieldPosition="0">
        <references count="1">
          <reference field="0" count="1" selected="0">
            <x v="0"/>
          </reference>
        </references>
      </pivotArea>
    </chartFormat>
    <chartFormat chart="0" format="23" series="1">
      <pivotArea type="data" outline="0" fieldPosition="0">
        <references count="1">
          <reference field="3" count="1" selected="0">
            <x v="0"/>
          </reference>
        </references>
      </pivotArea>
    </chartFormat>
    <chartFormat chart="0" format="24" series="1">
      <pivotArea type="data" outline="0" fieldPosition="0">
        <references count="1">
          <reference field="3" count="1" selected="0">
            <x v="1"/>
          </reference>
        </references>
      </pivotArea>
    </chartFormat>
    <chartFormat chart="0" format="25" series="1">
      <pivotArea type="data" outline="0" fieldPosition="0">
        <references count="1">
          <reference field="3" count="1" selected="0">
            <x v="2"/>
          </reference>
        </references>
      </pivotArea>
    </chartFormat>
    <chartFormat chart="0" format="26" series="1">
      <pivotArea type="data" outline="0" fieldPosition="0">
        <references count="1">
          <reference field="3" count="1" selected="0">
            <x v="3"/>
          </reference>
        </references>
      </pivotArea>
    </chartFormat>
    <chartFormat chart="0" format="27" series="1">
      <pivotArea type="data" outline="0" fieldPosition="0">
        <references count="1">
          <reference field="4294967294" count="1" selected="0">
            <x v="0"/>
          </reference>
        </references>
      </pivotArea>
    </chartFormat>
    <chartFormat chart="15" format="29" series="1">
      <pivotArea type="data" outline="0" fieldPosition="0">
        <references count="1">
          <reference field="4294967294" count="1" selected="0">
            <x v="0"/>
          </reference>
        </references>
      </pivotArea>
    </chartFormat>
    <chartFormat chart="15" format="30" series="1">
      <pivotArea type="data" outline="0" fieldPosition="0">
        <references count="2">
          <reference field="4294967294" count="1" selected="0">
            <x v="0"/>
          </reference>
          <reference field="3" count="1" selected="0">
            <x v="1"/>
          </reference>
        </references>
      </pivotArea>
    </chartFormat>
    <chartFormat chart="15" format="31" series="1">
      <pivotArea type="data" outline="0" fieldPosition="0">
        <references count="2">
          <reference field="4294967294" count="1" selected="0">
            <x v="0"/>
          </reference>
          <reference field="3" count="1" selected="0">
            <x v="2"/>
          </reference>
        </references>
      </pivotArea>
    </chartFormat>
    <chartFormat chart="15" format="32" series="1">
      <pivotArea type="data" outline="0" fieldPosition="0">
        <references count="2">
          <reference field="4294967294" count="1" selected="0">
            <x v="0"/>
          </reference>
          <reference field="3" count="1" selected="0">
            <x v="3"/>
          </reference>
        </references>
      </pivotArea>
    </chartFormat>
    <chartFormat chart="15" format="33" series="1">
      <pivotArea type="data" outline="0" fieldPosition="0">
        <references count="2">
          <reference field="4294967294" count="1" selected="0">
            <x v="0"/>
          </reference>
          <reference field="3" count="1" selected="0">
            <x v="0"/>
          </reference>
        </references>
      </pivotArea>
    </chartFormat>
    <chartFormat chart="0" format="28" series="1">
      <pivotArea type="data" outline="0" fieldPosition="0">
        <references count="2">
          <reference field="4294967294" count="1" selected="0">
            <x v="0"/>
          </reference>
          <reference field="3" count="1" selected="0">
            <x v="0"/>
          </reference>
        </references>
      </pivotArea>
    </chartFormat>
    <chartFormat chart="0" format="29" series="1">
      <pivotArea type="data" outline="0" fieldPosition="0">
        <references count="2">
          <reference field="4294967294" count="1" selected="0">
            <x v="0"/>
          </reference>
          <reference field="3" count="1" selected="0">
            <x v="1"/>
          </reference>
        </references>
      </pivotArea>
    </chartFormat>
    <chartFormat chart="0" format="30" series="1">
      <pivotArea type="data" outline="0" fieldPosition="0">
        <references count="2">
          <reference field="4294967294" count="1" selected="0">
            <x v="0"/>
          </reference>
          <reference field="3" count="1" selected="0">
            <x v="2"/>
          </reference>
        </references>
      </pivotArea>
    </chartFormat>
    <chartFormat chart="0" format="31" series="1">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ivotTable1" cacheId="4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3">
  <location ref="A3:D38" firstHeaderRow="1" firstDataRow="1" firstDataCol="3"/>
  <pivotFields count="21">
    <pivotField dataField="1" compact="0" outline="0" showAll="0"/>
    <pivotField compact="0" outline="0" showAll="0"/>
    <pivotField axis="axisRow" compact="0" outline="0" showAll="0">
      <items count="10">
        <item x="5"/>
        <item m="1" x="7"/>
        <item x="3"/>
        <item x="0"/>
        <item h="1" x="6"/>
        <item h="1" x="2"/>
        <item h="1" x="4"/>
        <item h="1" x="1"/>
        <item h="1" m="1" x="8"/>
        <item t="default"/>
      </items>
    </pivotField>
    <pivotField compact="0" outline="0" showAll="0"/>
    <pivotField axis="axisRow" compact="0" outline="0" showAll="0" sortType="descending">
      <items count="17">
        <item h="1" x="9"/>
        <item h="1" m="1" x="12"/>
        <item h="1" m="1" x="14"/>
        <item h="1" m="1" x="15"/>
        <item m="1" x="10"/>
        <item m="1" x="13"/>
        <item m="1" x="11"/>
        <item x="0"/>
        <item x="1"/>
        <item x="2"/>
        <item h="1" x="8"/>
        <item h="1" x="6"/>
        <item x="4"/>
        <item x="5"/>
        <item x="3"/>
        <item h="1" x="7"/>
        <item t="default"/>
      </items>
    </pivotField>
    <pivotField compact="0" outline="0" showAll="0"/>
    <pivotField compact="0" outline="0" showAll="0"/>
    <pivotField axis="axisRow" compact="0" outline="0" showAll="0">
      <items count="14">
        <item x="5"/>
        <item x="3"/>
        <item x="2"/>
        <item x="7"/>
        <item x="6"/>
        <item x="4"/>
        <item x="1"/>
        <item x="0"/>
        <item x="11"/>
        <item m="1" x="12"/>
        <item x="8"/>
        <item x="9"/>
        <item x="1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3">
    <field x="4"/>
    <field x="7"/>
    <field x="2"/>
  </rowFields>
  <rowItems count="35">
    <i>
      <x v="7"/>
      <x v="7"/>
      <x v="3"/>
    </i>
    <i t="default" r="1">
      <x v="7"/>
    </i>
    <i t="default">
      <x v="7"/>
    </i>
    <i>
      <x v="8"/>
      <x v="7"/>
      <x v="3"/>
    </i>
    <i t="default" r="1">
      <x v="7"/>
    </i>
    <i t="default">
      <x v="8"/>
    </i>
    <i>
      <x v="9"/>
      <x v="6"/>
      <x v="3"/>
    </i>
    <i t="default" r="1">
      <x v="6"/>
    </i>
    <i r="1">
      <x v="7"/>
      <x v="3"/>
    </i>
    <i t="default" r="1">
      <x v="7"/>
    </i>
    <i t="default">
      <x v="9"/>
    </i>
    <i>
      <x v="12"/>
      <x v="3"/>
      <x v="3"/>
    </i>
    <i t="default" r="1">
      <x v="3"/>
    </i>
    <i r="1">
      <x v="7"/>
      <x v="3"/>
    </i>
    <i t="default" r="1">
      <x v="7"/>
    </i>
    <i t="default">
      <x v="12"/>
    </i>
    <i>
      <x v="13"/>
      <x v="5"/>
      <x v="3"/>
    </i>
    <i t="default" r="1">
      <x v="5"/>
    </i>
    <i r="1">
      <x v="7"/>
      <x v="3"/>
    </i>
    <i t="default" r="1">
      <x v="7"/>
    </i>
    <i r="1">
      <x v="10"/>
      <x v="3"/>
    </i>
    <i t="default" r="1">
      <x v="10"/>
    </i>
    <i t="default">
      <x v="13"/>
    </i>
    <i>
      <x v="14"/>
      <x/>
      <x v="3"/>
    </i>
    <i t="default" r="1">
      <x/>
    </i>
    <i r="1">
      <x v="1"/>
      <x v="2"/>
    </i>
    <i t="default" r="1">
      <x v="1"/>
    </i>
    <i r="1">
      <x v="2"/>
      <x v="3"/>
    </i>
    <i t="default" r="1">
      <x v="2"/>
    </i>
    <i r="1">
      <x v="4"/>
      <x v="3"/>
    </i>
    <i t="default" r="1">
      <x v="4"/>
    </i>
    <i r="1">
      <x v="5"/>
      <x v="3"/>
    </i>
    <i t="default" r="1">
      <x v="5"/>
    </i>
    <i t="default">
      <x v="14"/>
    </i>
    <i t="grand">
      <x/>
    </i>
  </rowItems>
  <colItems count="1">
    <i/>
  </colItems>
  <dataFields count="1">
    <dataField name="Count of Case ID" fld="0" subtotal="count"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F00-000001000000}" name="PivotTable2"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21:B29" firstHeaderRow="1" firstDataRow="1" firstDataCol="1" rowPageCount="1" colPageCount="1"/>
  <pivotFields count="20">
    <pivotField dataField="1" showAll="0"/>
    <pivotField showAll="0"/>
    <pivotField showAll="0"/>
    <pivotField axis="axisPage" multipleItemSelectionAllowed="1" showAll="0">
      <items count="33">
        <item x="0"/>
        <item x="1"/>
        <item x="3"/>
        <item x="2"/>
        <item x="4"/>
        <item x="5"/>
        <item x="6"/>
        <item x="7"/>
        <item x="8"/>
        <item x="9"/>
        <item x="10"/>
        <item x="11"/>
        <item x="12"/>
        <item x="13"/>
        <item x="14"/>
        <item m="1" x="30"/>
        <item h="1" x="29"/>
        <item h="1" x="15"/>
        <item h="1" x="16"/>
        <item h="1" x="17"/>
        <item h="1" x="18"/>
        <item h="1" x="19"/>
        <item h="1" x="20"/>
        <item h="1" x="21"/>
        <item h="1" x="22"/>
        <item h="1" x="23"/>
        <item h="1" x="24"/>
        <item h="1" x="25"/>
        <item h="1" m="1" x="31"/>
        <item h="1" x="26"/>
        <item h="1" x="27"/>
        <item h="1" x="28"/>
        <item t="default"/>
      </items>
    </pivotField>
    <pivotField showAll="0"/>
    <pivotField showAll="0"/>
    <pivotField showAll="0"/>
    <pivotField axis="axisRow" showAll="0">
      <items count="14">
        <item x="5"/>
        <item x="3"/>
        <item x="2"/>
        <item x="7"/>
        <item x="6"/>
        <item x="4"/>
        <item x="1"/>
        <item x="0"/>
        <item h="1" x="11"/>
        <item h="1" m="1" x="12"/>
        <item h="1" x="8"/>
        <item h="1" x="9"/>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s>
  <rowFields count="1">
    <field x="7"/>
  </rowFields>
  <rowItems count="8">
    <i>
      <x/>
    </i>
    <i>
      <x v="1"/>
    </i>
    <i>
      <x v="2"/>
    </i>
    <i>
      <x v="4"/>
    </i>
    <i>
      <x v="5"/>
    </i>
    <i>
      <x v="6"/>
    </i>
    <i>
      <x v="7"/>
    </i>
    <i t="grand">
      <x/>
    </i>
  </rowItems>
  <colItems count="1">
    <i/>
  </colItems>
  <pageFields count="1">
    <pageField fld="3" hier="-1"/>
  </pageFields>
  <dataFields count="1">
    <dataField name="Count of Case ID" fld="0" subtotal="count" baseField="0" baseItem="0"/>
  </dataFields>
  <chartFormats count="24">
    <chartFormat chart="5" format="37" series="1">
      <pivotArea type="data" outline="0" fieldPosition="0">
        <references count="1">
          <reference field="4294967294" count="1" selected="0">
            <x v="0"/>
          </reference>
        </references>
      </pivotArea>
    </chartFormat>
    <chartFormat chart="3" format="19" series="1">
      <pivotArea type="data" outline="0" fieldPosition="0">
        <references count="1">
          <reference field="4294967294" count="1" selected="0">
            <x v="0"/>
          </reference>
        </references>
      </pivotArea>
    </chartFormat>
    <chartFormat chart="1" format="17" series="1">
      <pivotArea type="data" outline="0" fieldPosition="0">
        <references count="1">
          <reference field="4294967294" count="1" selected="0">
            <x v="0"/>
          </reference>
        </references>
      </pivotArea>
    </chartFormat>
    <chartFormat chart="5" format="38">
      <pivotArea type="data" outline="0" fieldPosition="0">
        <references count="2">
          <reference field="4294967294" count="1" selected="0">
            <x v="0"/>
          </reference>
          <reference field="7" count="1" selected="0">
            <x v="0"/>
          </reference>
        </references>
      </pivotArea>
    </chartFormat>
    <chartFormat chart="5" format="39">
      <pivotArea type="data" outline="0" fieldPosition="0">
        <references count="2">
          <reference field="4294967294" count="1" selected="0">
            <x v="0"/>
          </reference>
          <reference field="7" count="1" selected="0">
            <x v="1"/>
          </reference>
        </references>
      </pivotArea>
    </chartFormat>
    <chartFormat chart="5" format="40">
      <pivotArea type="data" outline="0" fieldPosition="0">
        <references count="2">
          <reference field="4294967294" count="1" selected="0">
            <x v="0"/>
          </reference>
          <reference field="7" count="1" selected="0">
            <x v="2"/>
          </reference>
        </references>
      </pivotArea>
    </chartFormat>
    <chartFormat chart="5" format="41">
      <pivotArea type="data" outline="0" fieldPosition="0">
        <references count="2">
          <reference field="4294967294" count="1" selected="0">
            <x v="0"/>
          </reference>
          <reference field="7" count="1" selected="0">
            <x v="4"/>
          </reference>
        </references>
      </pivotArea>
    </chartFormat>
    <chartFormat chart="5" format="42">
      <pivotArea type="data" outline="0" fieldPosition="0">
        <references count="2">
          <reference field="4294967294" count="1" selected="0">
            <x v="0"/>
          </reference>
          <reference field="7" count="1" selected="0">
            <x v="5"/>
          </reference>
        </references>
      </pivotArea>
    </chartFormat>
    <chartFormat chart="5" format="43">
      <pivotArea type="data" outline="0" fieldPosition="0">
        <references count="2">
          <reference field="4294967294" count="1" selected="0">
            <x v="0"/>
          </reference>
          <reference field="7" count="1" selected="0">
            <x v="6"/>
          </reference>
        </references>
      </pivotArea>
    </chartFormat>
    <chartFormat chart="5" format="44">
      <pivotArea type="data" outline="0" fieldPosition="0">
        <references count="2">
          <reference field="4294967294" count="1" selected="0">
            <x v="0"/>
          </reference>
          <reference field="7" count="1" selected="0">
            <x v="7"/>
          </reference>
        </references>
      </pivotArea>
    </chartFormat>
    <chartFormat chart="3" format="20">
      <pivotArea type="data" outline="0" fieldPosition="0">
        <references count="2">
          <reference field="4294967294" count="1" selected="0">
            <x v="0"/>
          </reference>
          <reference field="7" count="1" selected="0">
            <x v="0"/>
          </reference>
        </references>
      </pivotArea>
    </chartFormat>
    <chartFormat chart="3" format="21">
      <pivotArea type="data" outline="0" fieldPosition="0">
        <references count="2">
          <reference field="4294967294" count="1" selected="0">
            <x v="0"/>
          </reference>
          <reference field="7" count="1" selected="0">
            <x v="1"/>
          </reference>
        </references>
      </pivotArea>
    </chartFormat>
    <chartFormat chart="3" format="22">
      <pivotArea type="data" outline="0" fieldPosition="0">
        <references count="2">
          <reference field="4294967294" count="1" selected="0">
            <x v="0"/>
          </reference>
          <reference field="7" count="1" selected="0">
            <x v="2"/>
          </reference>
        </references>
      </pivotArea>
    </chartFormat>
    <chartFormat chart="3" format="23">
      <pivotArea type="data" outline="0" fieldPosition="0">
        <references count="2">
          <reference field="4294967294" count="1" selected="0">
            <x v="0"/>
          </reference>
          <reference field="7" count="1" selected="0">
            <x v="4"/>
          </reference>
        </references>
      </pivotArea>
    </chartFormat>
    <chartFormat chart="3" format="24">
      <pivotArea type="data" outline="0" fieldPosition="0">
        <references count="2">
          <reference field="4294967294" count="1" selected="0">
            <x v="0"/>
          </reference>
          <reference field="7" count="1" selected="0">
            <x v="5"/>
          </reference>
        </references>
      </pivotArea>
    </chartFormat>
    <chartFormat chart="3" format="25">
      <pivotArea type="data" outline="0" fieldPosition="0">
        <references count="2">
          <reference field="4294967294" count="1" selected="0">
            <x v="0"/>
          </reference>
          <reference field="7" count="1" selected="0">
            <x v="6"/>
          </reference>
        </references>
      </pivotArea>
    </chartFormat>
    <chartFormat chart="3" format="26">
      <pivotArea type="data" outline="0" fieldPosition="0">
        <references count="2">
          <reference field="4294967294" count="1" selected="0">
            <x v="0"/>
          </reference>
          <reference field="7" count="1" selected="0">
            <x v="7"/>
          </reference>
        </references>
      </pivotArea>
    </chartFormat>
    <chartFormat chart="1" format="18">
      <pivotArea type="data" outline="0" fieldPosition="0">
        <references count="2">
          <reference field="4294967294" count="1" selected="0">
            <x v="0"/>
          </reference>
          <reference field="7" count="1" selected="0">
            <x v="0"/>
          </reference>
        </references>
      </pivotArea>
    </chartFormat>
    <chartFormat chart="1" format="19">
      <pivotArea type="data" outline="0" fieldPosition="0">
        <references count="2">
          <reference field="4294967294" count="1" selected="0">
            <x v="0"/>
          </reference>
          <reference field="7" count="1" selected="0">
            <x v="1"/>
          </reference>
        </references>
      </pivotArea>
    </chartFormat>
    <chartFormat chart="1" format="20">
      <pivotArea type="data" outline="0" fieldPosition="0">
        <references count="2">
          <reference field="4294967294" count="1" selected="0">
            <x v="0"/>
          </reference>
          <reference field="7" count="1" selected="0">
            <x v="2"/>
          </reference>
        </references>
      </pivotArea>
    </chartFormat>
    <chartFormat chart="1" format="21">
      <pivotArea type="data" outline="0" fieldPosition="0">
        <references count="2">
          <reference field="4294967294" count="1" selected="0">
            <x v="0"/>
          </reference>
          <reference field="7" count="1" selected="0">
            <x v="4"/>
          </reference>
        </references>
      </pivotArea>
    </chartFormat>
    <chartFormat chart="1" format="22">
      <pivotArea type="data" outline="0" fieldPosition="0">
        <references count="2">
          <reference field="4294967294" count="1" selected="0">
            <x v="0"/>
          </reference>
          <reference field="7" count="1" selected="0">
            <x v="5"/>
          </reference>
        </references>
      </pivotArea>
    </chartFormat>
    <chartFormat chart="1" format="23">
      <pivotArea type="data" outline="0" fieldPosition="0">
        <references count="2">
          <reference field="4294967294" count="1" selected="0">
            <x v="0"/>
          </reference>
          <reference field="7" count="1" selected="0">
            <x v="6"/>
          </reference>
        </references>
      </pivotArea>
    </chartFormat>
    <chartFormat chart="1" format="24">
      <pivotArea type="data" outline="0" fieldPosition="0">
        <references count="2">
          <reference field="4294967294" count="1" selected="0">
            <x v="0"/>
          </reference>
          <reference field="7"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F00-000002000000}" name="PivotTable23"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60:E71" firstHeaderRow="1" firstDataRow="2" firstDataCol="1"/>
  <pivotFields count="9">
    <pivotField showAll="0"/>
    <pivotField showAll="0"/>
    <pivotField axis="axisCol" dataField="1" showAll="0">
      <items count="10">
        <item x="5"/>
        <item m="1" x="7"/>
        <item x="3"/>
        <item x="0"/>
        <item h="1" x="6"/>
        <item h="1" x="2"/>
        <item h="1" x="4"/>
        <item h="1" x="1"/>
        <item h="1" m="1" x="8"/>
        <item t="default"/>
      </items>
    </pivotField>
    <pivotField showAll="0"/>
    <pivotField axis="axisRow" showAll="0">
      <items count="17">
        <item x="3"/>
        <item x="4"/>
        <item x="2"/>
        <item x="1"/>
        <item x="0"/>
        <item x="9"/>
        <item m="1" x="11"/>
        <item m="1" x="13"/>
        <item m="1" x="10"/>
        <item x="5"/>
        <item m="1" x="15"/>
        <item m="1" x="14"/>
        <item m="1" x="12"/>
        <item x="6"/>
        <item x="7"/>
        <item x="8"/>
        <item t="default"/>
      </items>
    </pivotField>
    <pivotField showAll="0"/>
    <pivotField showAll="0"/>
    <pivotField showAll="0"/>
    <pivotField showAll="0"/>
  </pivotFields>
  <rowFields count="1">
    <field x="4"/>
  </rowFields>
  <rowItems count="10">
    <i>
      <x/>
    </i>
    <i>
      <x v="1"/>
    </i>
    <i>
      <x v="2"/>
    </i>
    <i>
      <x v="3"/>
    </i>
    <i>
      <x v="4"/>
    </i>
    <i>
      <x v="9"/>
    </i>
    <i>
      <x v="13"/>
    </i>
    <i>
      <x v="14"/>
    </i>
    <i>
      <x v="15"/>
    </i>
    <i t="grand">
      <x/>
    </i>
  </rowItems>
  <colFields count="1">
    <field x="2"/>
  </colFields>
  <colItems count="4">
    <i>
      <x/>
    </i>
    <i>
      <x v="2"/>
    </i>
    <i>
      <x v="3"/>
    </i>
    <i t="grand">
      <x/>
    </i>
  </colItems>
  <dataFields count="1">
    <dataField name="Count of Active/Inactive" fld="2" subtotal="count" baseField="4" baseItem="0"/>
  </dataFields>
  <chartFormats count="48">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0" format="3" series="1">
      <pivotArea type="data" outline="0" fieldPosition="0">
        <references count="2">
          <reference field="4294967294" count="1" selected="0">
            <x v="0"/>
          </reference>
          <reference field="2" count="1" selected="0">
            <x v="3"/>
          </reference>
        </references>
      </pivotArea>
    </chartFormat>
    <chartFormat chart="2" format="8" series="1">
      <pivotArea type="data" outline="0" fieldPosition="0">
        <references count="2">
          <reference field="4294967294" count="1" selected="0">
            <x v="0"/>
          </reference>
          <reference field="2" count="1" selected="0">
            <x v="0"/>
          </reference>
        </references>
      </pivotArea>
    </chartFormat>
    <chartFormat chart="2" format="9" series="1">
      <pivotArea type="data" outline="0" fieldPosition="0">
        <references count="2">
          <reference field="4294967294" count="1" selected="0">
            <x v="0"/>
          </reference>
          <reference field="2" count="1" selected="0">
            <x v="1"/>
          </reference>
        </references>
      </pivotArea>
    </chartFormat>
    <chartFormat chart="2" format="10" series="1">
      <pivotArea type="data" outline="0" fieldPosition="0">
        <references count="2">
          <reference field="4294967294" count="1" selected="0">
            <x v="0"/>
          </reference>
          <reference field="2" count="1" selected="0">
            <x v="2"/>
          </reference>
        </references>
      </pivotArea>
    </chartFormat>
    <chartFormat chart="2" format="11" series="1">
      <pivotArea type="data" outline="0" fieldPosition="0">
        <references count="2">
          <reference field="4294967294" count="1" selected="0">
            <x v="0"/>
          </reference>
          <reference field="2" count="1" selected="0">
            <x v="3"/>
          </reference>
        </references>
      </pivotArea>
    </chartFormat>
    <chartFormat chart="3" format="12" series="1">
      <pivotArea type="data" outline="0" fieldPosition="0">
        <references count="2">
          <reference field="4294967294" count="1" selected="0">
            <x v="0"/>
          </reference>
          <reference field="2" count="1" selected="0">
            <x v="0"/>
          </reference>
        </references>
      </pivotArea>
    </chartFormat>
    <chartFormat chart="3" format="13" series="1">
      <pivotArea type="data" outline="0" fieldPosition="0">
        <references count="2">
          <reference field="4294967294" count="1" selected="0">
            <x v="0"/>
          </reference>
          <reference field="2" count="1" selected="0">
            <x v="1"/>
          </reference>
        </references>
      </pivotArea>
    </chartFormat>
    <chartFormat chart="3" format="14" series="1">
      <pivotArea type="data" outline="0" fieldPosition="0">
        <references count="2">
          <reference field="4294967294" count="1" selected="0">
            <x v="0"/>
          </reference>
          <reference field="2" count="1" selected="0">
            <x v="2"/>
          </reference>
        </references>
      </pivotArea>
    </chartFormat>
    <chartFormat chart="3" format="15" series="1">
      <pivotArea type="data" outline="0" fieldPosition="0">
        <references count="2">
          <reference field="4294967294" count="1" selected="0">
            <x v="0"/>
          </reference>
          <reference field="2" count="1" selected="0">
            <x v="3"/>
          </reference>
        </references>
      </pivotArea>
    </chartFormat>
    <chartFormat chart="4" format="16" series="1">
      <pivotArea type="data" outline="0" fieldPosition="0">
        <references count="2">
          <reference field="4294967294" count="1" selected="0">
            <x v="0"/>
          </reference>
          <reference field="2" count="1" selected="0">
            <x v="0"/>
          </reference>
        </references>
      </pivotArea>
    </chartFormat>
    <chartFormat chart="4" format="17" series="1">
      <pivotArea type="data" outline="0" fieldPosition="0">
        <references count="2">
          <reference field="4294967294" count="1" selected="0">
            <x v="0"/>
          </reference>
          <reference field="2" count="1" selected="0">
            <x v="1"/>
          </reference>
        </references>
      </pivotArea>
    </chartFormat>
    <chartFormat chart="4" format="18" series="1">
      <pivotArea type="data" outline="0" fieldPosition="0">
        <references count="2">
          <reference field="4294967294" count="1" selected="0">
            <x v="0"/>
          </reference>
          <reference field="2" count="1" selected="0">
            <x v="2"/>
          </reference>
        </references>
      </pivotArea>
    </chartFormat>
    <chartFormat chart="4" format="19" series="1">
      <pivotArea type="data" outline="0" fieldPosition="0">
        <references count="2">
          <reference field="4294967294" count="1" selected="0">
            <x v="0"/>
          </reference>
          <reference field="2" count="1" selected="0">
            <x v="3"/>
          </reference>
        </references>
      </pivotArea>
    </chartFormat>
    <chartFormat chart="5" format="12" series="1">
      <pivotArea type="data" outline="0" fieldPosition="0">
        <references count="2">
          <reference field="4294967294" count="1" selected="0">
            <x v="0"/>
          </reference>
          <reference field="2" count="1" selected="0">
            <x v="0"/>
          </reference>
        </references>
      </pivotArea>
    </chartFormat>
    <chartFormat chart="5" format="13" series="1">
      <pivotArea type="data" outline="0" fieldPosition="0">
        <references count="2">
          <reference field="4294967294" count="1" selected="0">
            <x v="0"/>
          </reference>
          <reference field="2" count="1" selected="0">
            <x v="1"/>
          </reference>
        </references>
      </pivotArea>
    </chartFormat>
    <chartFormat chart="5" format="14" series="1">
      <pivotArea type="data" outline="0" fieldPosition="0">
        <references count="2">
          <reference field="4294967294" count="1" selected="0">
            <x v="0"/>
          </reference>
          <reference field="2" count="1" selected="0">
            <x v="2"/>
          </reference>
        </references>
      </pivotArea>
    </chartFormat>
    <chartFormat chart="5" format="15" series="1">
      <pivotArea type="data" outline="0" fieldPosition="0">
        <references count="2">
          <reference field="4294967294" count="1" selected="0">
            <x v="0"/>
          </reference>
          <reference field="2" count="1" selected="0">
            <x v="3"/>
          </reference>
        </references>
      </pivotArea>
    </chartFormat>
    <chartFormat chart="6" format="16" series="1">
      <pivotArea type="data" outline="0" fieldPosition="0">
        <references count="2">
          <reference field="4294967294" count="1" selected="0">
            <x v="0"/>
          </reference>
          <reference field="2" count="1" selected="0">
            <x v="0"/>
          </reference>
        </references>
      </pivotArea>
    </chartFormat>
    <chartFormat chart="6" format="17" series="1">
      <pivotArea type="data" outline="0" fieldPosition="0">
        <references count="2">
          <reference field="4294967294" count="1" selected="0">
            <x v="0"/>
          </reference>
          <reference field="2" count="1" selected="0">
            <x v="1"/>
          </reference>
        </references>
      </pivotArea>
    </chartFormat>
    <chartFormat chart="6" format="18" series="1">
      <pivotArea type="data" outline="0" fieldPosition="0">
        <references count="2">
          <reference field="4294967294" count="1" selected="0">
            <x v="0"/>
          </reference>
          <reference field="2" count="1" selected="0">
            <x v="2"/>
          </reference>
        </references>
      </pivotArea>
    </chartFormat>
    <chartFormat chart="6" format="19" series="1">
      <pivotArea type="data" outline="0" fieldPosition="0">
        <references count="2">
          <reference field="4294967294" count="1" selected="0">
            <x v="0"/>
          </reference>
          <reference field="2" count="1" selected="0">
            <x v="3"/>
          </reference>
        </references>
      </pivotArea>
    </chartFormat>
    <chartFormat chart="7" format="20" series="1">
      <pivotArea type="data" outline="0" fieldPosition="0">
        <references count="2">
          <reference field="4294967294" count="1" selected="0">
            <x v="0"/>
          </reference>
          <reference field="2" count="1" selected="0">
            <x v="0"/>
          </reference>
        </references>
      </pivotArea>
    </chartFormat>
    <chartFormat chart="7" format="21" series="1">
      <pivotArea type="data" outline="0" fieldPosition="0">
        <references count="2">
          <reference field="4294967294" count="1" selected="0">
            <x v="0"/>
          </reference>
          <reference field="2" count="1" selected="0">
            <x v="1"/>
          </reference>
        </references>
      </pivotArea>
    </chartFormat>
    <chartFormat chart="7" format="22" series="1">
      <pivotArea type="data" outline="0" fieldPosition="0">
        <references count="2">
          <reference field="4294967294" count="1" selected="0">
            <x v="0"/>
          </reference>
          <reference field="2" count="1" selected="0">
            <x v="2"/>
          </reference>
        </references>
      </pivotArea>
    </chartFormat>
    <chartFormat chart="7" format="23" series="1">
      <pivotArea type="data" outline="0" fieldPosition="0">
        <references count="2">
          <reference field="4294967294" count="1" selected="0">
            <x v="0"/>
          </reference>
          <reference field="2" count="1" selected="0">
            <x v="3"/>
          </reference>
        </references>
      </pivotArea>
    </chartFormat>
    <chartFormat chart="8" format="24" series="1">
      <pivotArea type="data" outline="0" fieldPosition="0">
        <references count="2">
          <reference field="4294967294" count="1" selected="0">
            <x v="0"/>
          </reference>
          <reference field="2" count="1" selected="0">
            <x v="0"/>
          </reference>
        </references>
      </pivotArea>
    </chartFormat>
    <chartFormat chart="8" format="25" series="1">
      <pivotArea type="data" outline="0" fieldPosition="0">
        <references count="2">
          <reference field="4294967294" count="1" selected="0">
            <x v="0"/>
          </reference>
          <reference field="2" count="1" selected="0">
            <x v="1"/>
          </reference>
        </references>
      </pivotArea>
    </chartFormat>
    <chartFormat chart="8" format="26" series="1">
      <pivotArea type="data" outline="0" fieldPosition="0">
        <references count="2">
          <reference field="4294967294" count="1" selected="0">
            <x v="0"/>
          </reference>
          <reference field="2" count="1" selected="0">
            <x v="2"/>
          </reference>
        </references>
      </pivotArea>
    </chartFormat>
    <chartFormat chart="8" format="27" series="1">
      <pivotArea type="data" outline="0" fieldPosition="0">
        <references count="2">
          <reference field="4294967294" count="1" selected="0">
            <x v="0"/>
          </reference>
          <reference field="2" count="1" selected="0">
            <x v="3"/>
          </reference>
        </references>
      </pivotArea>
    </chartFormat>
    <chartFormat chart="9" format="28" series="1">
      <pivotArea type="data" outline="0" fieldPosition="0">
        <references count="2">
          <reference field="4294967294" count="1" selected="0">
            <x v="0"/>
          </reference>
          <reference field="2" count="1" selected="0">
            <x v="0"/>
          </reference>
        </references>
      </pivotArea>
    </chartFormat>
    <chartFormat chart="9" format="29" series="1">
      <pivotArea type="data" outline="0" fieldPosition="0">
        <references count="2">
          <reference field="4294967294" count="1" selected="0">
            <x v="0"/>
          </reference>
          <reference field="2" count="1" selected="0">
            <x v="1"/>
          </reference>
        </references>
      </pivotArea>
    </chartFormat>
    <chartFormat chart="9" format="30" series="1">
      <pivotArea type="data" outline="0" fieldPosition="0">
        <references count="2">
          <reference field="4294967294" count="1" selected="0">
            <x v="0"/>
          </reference>
          <reference field="2" count="1" selected="0">
            <x v="2"/>
          </reference>
        </references>
      </pivotArea>
    </chartFormat>
    <chartFormat chart="9" format="31" series="1">
      <pivotArea type="data" outline="0" fieldPosition="0">
        <references count="2">
          <reference field="4294967294" count="1" selected="0">
            <x v="0"/>
          </reference>
          <reference field="2" count="1" selected="0">
            <x v="3"/>
          </reference>
        </references>
      </pivotArea>
    </chartFormat>
    <chartFormat chart="10" format="32" series="1">
      <pivotArea type="data" outline="0" fieldPosition="0">
        <references count="2">
          <reference field="4294967294" count="1" selected="0">
            <x v="0"/>
          </reference>
          <reference field="2" count="1" selected="0">
            <x v="0"/>
          </reference>
        </references>
      </pivotArea>
    </chartFormat>
    <chartFormat chart="10" format="33" series="1">
      <pivotArea type="data" outline="0" fieldPosition="0">
        <references count="2">
          <reference field="4294967294" count="1" selected="0">
            <x v="0"/>
          </reference>
          <reference field="2" count="1" selected="0">
            <x v="1"/>
          </reference>
        </references>
      </pivotArea>
    </chartFormat>
    <chartFormat chart="10" format="34" series="1">
      <pivotArea type="data" outline="0" fieldPosition="0">
        <references count="2">
          <reference field="4294967294" count="1" selected="0">
            <x v="0"/>
          </reference>
          <reference field="2" count="1" selected="0">
            <x v="2"/>
          </reference>
        </references>
      </pivotArea>
    </chartFormat>
    <chartFormat chart="10" format="35" series="1">
      <pivotArea type="data" outline="0" fieldPosition="0">
        <references count="2">
          <reference field="4294967294" count="1" selected="0">
            <x v="0"/>
          </reference>
          <reference field="2" count="1" selected="0">
            <x v="3"/>
          </reference>
        </references>
      </pivotArea>
    </chartFormat>
    <chartFormat chart="11" format="36" series="1">
      <pivotArea type="data" outline="0" fieldPosition="0">
        <references count="2">
          <reference field="4294967294" count="1" selected="0">
            <x v="0"/>
          </reference>
          <reference field="2" count="1" selected="0">
            <x v="0"/>
          </reference>
        </references>
      </pivotArea>
    </chartFormat>
    <chartFormat chart="11" format="37" series="1">
      <pivotArea type="data" outline="0" fieldPosition="0">
        <references count="2">
          <reference field="4294967294" count="1" selected="0">
            <x v="0"/>
          </reference>
          <reference field="2" count="1" selected="0">
            <x v="1"/>
          </reference>
        </references>
      </pivotArea>
    </chartFormat>
    <chartFormat chart="11" format="38" series="1">
      <pivotArea type="data" outline="0" fieldPosition="0">
        <references count="2">
          <reference field="4294967294" count="1" selected="0">
            <x v="0"/>
          </reference>
          <reference field="2" count="1" selected="0">
            <x v="2"/>
          </reference>
        </references>
      </pivotArea>
    </chartFormat>
    <chartFormat chart="11" format="39" series="1">
      <pivotArea type="data" outline="0" fieldPosition="0">
        <references count="2">
          <reference field="4294967294" count="1" selected="0">
            <x v="0"/>
          </reference>
          <reference field="2" count="1" selected="0">
            <x v="3"/>
          </reference>
        </references>
      </pivotArea>
    </chartFormat>
    <chartFormat chart="12" format="40" series="1">
      <pivotArea type="data" outline="0" fieldPosition="0">
        <references count="2">
          <reference field="4294967294" count="1" selected="0">
            <x v="0"/>
          </reference>
          <reference field="2" count="1" selected="0">
            <x v="0"/>
          </reference>
        </references>
      </pivotArea>
    </chartFormat>
    <chartFormat chart="12" format="41" series="1">
      <pivotArea type="data" outline="0" fieldPosition="0">
        <references count="2">
          <reference field="4294967294" count="1" selected="0">
            <x v="0"/>
          </reference>
          <reference field="2" count="1" selected="0">
            <x v="1"/>
          </reference>
        </references>
      </pivotArea>
    </chartFormat>
    <chartFormat chart="12" format="42" series="1">
      <pivotArea type="data" outline="0" fieldPosition="0">
        <references count="2">
          <reference field="4294967294" count="1" selected="0">
            <x v="0"/>
          </reference>
          <reference field="2" count="1" selected="0">
            <x v="2"/>
          </reference>
        </references>
      </pivotArea>
    </chartFormat>
    <chartFormat chart="12" format="43" series="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F00-000003000000}" name="PivotTable4" cacheId="4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9:B40" firstHeaderRow="1" firstDataRow="1" firstDataCol="1" rowPageCount="1" colPageCount="1"/>
  <pivotFields count="9">
    <pivotField dataField="1" showAll="0"/>
    <pivotField showAll="0"/>
    <pivotField showAll="0"/>
    <pivotField showAll="0"/>
    <pivotField showAll="0"/>
    <pivotField showAll="0"/>
    <pivotField axis="axisPage" multipleItemSelectionAllowed="1" showAll="0">
      <items count="4">
        <item h="1" x="0"/>
        <item m="1" x="2"/>
        <item h="1" m="1" x="1"/>
        <item t="default"/>
      </items>
    </pivotField>
    <pivotField axis="axisRow" showAll="0">
      <items count="13">
        <item x="5"/>
        <item x="3"/>
        <item x="2"/>
        <item x="7"/>
        <item x="6"/>
        <item x="4"/>
        <item x="1"/>
        <item x="0"/>
        <item m="1" x="10"/>
        <item m="1" x="11"/>
        <item x="8"/>
        <item x="9"/>
        <item t="default"/>
      </items>
    </pivotField>
    <pivotField showAll="0"/>
  </pivotFields>
  <rowFields count="1">
    <field x="7"/>
  </rowFields>
  <rowItems count="1">
    <i t="grand">
      <x/>
    </i>
  </rowItems>
  <colItems count="1">
    <i/>
  </colItems>
  <pageFields count="1">
    <pageField fld="6" hier="-1"/>
  </pageFields>
  <dataFields count="1">
    <dataField name="Count of Case ID" fld="0" subtotal="count" baseField="2" baseItem="0"/>
  </dataFields>
  <chartFormats count="4">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ivotTable1"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A3:B7" firstHeaderRow="1" firstDataRow="1" firstDataCol="1"/>
  <pivotFields count="20">
    <pivotField dataField="1" showAll="0"/>
    <pivotField showAll="0"/>
    <pivotField name="Status" axis="axisRow" multipleItemSelectionAllowed="1" showAll="0">
      <items count="10">
        <item x="5"/>
        <item m="1" x="7"/>
        <item x="3"/>
        <item x="0"/>
        <item h="1" x="6"/>
        <item h="1" x="2"/>
        <item h="1" x="4"/>
        <item h="1" x="1"/>
        <item h="1" m="1" x="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4">
    <i>
      <x/>
    </i>
    <i>
      <x v="2"/>
    </i>
    <i>
      <x v="3"/>
    </i>
    <i t="grand">
      <x/>
    </i>
  </rowItems>
  <colItems count="1">
    <i/>
  </colItems>
  <dataFields count="1">
    <dataField name="Total" fld="0" subtotal="count" baseField="9" baseItem="0"/>
  </dataFields>
  <chartFormats count="80">
    <chartFormat chart="1" format="5" series="1">
      <pivotArea type="data" outline="0" fieldPosition="0">
        <references count="1">
          <reference field="4294967294" count="1" selected="0">
            <x v="0"/>
          </reference>
        </references>
      </pivotArea>
    </chartFormat>
    <chartFormat chart="1" format="6">
      <pivotArea type="data" outline="0" fieldPosition="0">
        <references count="2">
          <reference field="4294967294" count="1" selected="0">
            <x v="0"/>
          </reference>
          <reference field="2" count="1" selected="0">
            <x v="3"/>
          </reference>
        </references>
      </pivotArea>
    </chartFormat>
    <chartFormat chart="1" format="7">
      <pivotArea type="data" outline="0" fieldPosition="0">
        <references count="2">
          <reference field="4294967294" count="1" selected="0">
            <x v="0"/>
          </reference>
          <reference field="2" count="1" selected="0">
            <x v="0"/>
          </reference>
        </references>
      </pivotArea>
    </chartFormat>
    <chartFormat chart="1" format="8">
      <pivotArea type="data" outline="0" fieldPosition="0">
        <references count="2">
          <reference field="4294967294" count="1" selected="0">
            <x v="0"/>
          </reference>
          <reference field="2" count="1" selected="0">
            <x v="2"/>
          </reference>
        </references>
      </pivotArea>
    </chartFormat>
    <chartFormat chart="1" format="9">
      <pivotArea type="data" outline="0" fieldPosition="0">
        <references count="2">
          <reference field="4294967294" count="1" selected="0">
            <x v="0"/>
          </reference>
          <reference field="2" count="1" selected="0">
            <x v="1"/>
          </reference>
        </references>
      </pivotArea>
    </chartFormat>
    <chartFormat chart="5" format="15" series="1">
      <pivotArea type="data" outline="0" fieldPosition="0">
        <references count="1">
          <reference field="4294967294" count="1" selected="0">
            <x v="0"/>
          </reference>
        </references>
      </pivotArea>
    </chartFormat>
    <chartFormat chart="5" format="16">
      <pivotArea type="data" outline="0" fieldPosition="0">
        <references count="2">
          <reference field="4294967294" count="1" selected="0">
            <x v="0"/>
          </reference>
          <reference field="2" count="1" selected="0">
            <x v="0"/>
          </reference>
        </references>
      </pivotArea>
    </chartFormat>
    <chartFormat chart="5" format="17">
      <pivotArea type="data" outline="0" fieldPosition="0">
        <references count="2">
          <reference field="4294967294" count="1" selected="0">
            <x v="0"/>
          </reference>
          <reference field="2" count="1" selected="0">
            <x v="1"/>
          </reference>
        </references>
      </pivotArea>
    </chartFormat>
    <chartFormat chart="5" format="18">
      <pivotArea type="data" outline="0" fieldPosition="0">
        <references count="2">
          <reference field="4294967294" count="1" selected="0">
            <x v="0"/>
          </reference>
          <reference field="2" count="1" selected="0">
            <x v="2"/>
          </reference>
        </references>
      </pivotArea>
    </chartFormat>
    <chartFormat chart="5" format="19">
      <pivotArea type="data" outline="0" fieldPosition="0">
        <references count="2">
          <reference field="4294967294" count="1" selected="0">
            <x v="0"/>
          </reference>
          <reference field="2" count="1" selected="0">
            <x v="3"/>
          </reference>
        </references>
      </pivotArea>
    </chartFormat>
    <chartFormat chart="6" format="20" series="1">
      <pivotArea type="data" outline="0" fieldPosition="0">
        <references count="1">
          <reference field="4294967294" count="1" selected="0">
            <x v="0"/>
          </reference>
        </references>
      </pivotArea>
    </chartFormat>
    <chartFormat chart="6" format="21">
      <pivotArea type="data" outline="0" fieldPosition="0">
        <references count="2">
          <reference field="4294967294" count="1" selected="0">
            <x v="0"/>
          </reference>
          <reference field="2" count="1" selected="0">
            <x v="0"/>
          </reference>
        </references>
      </pivotArea>
    </chartFormat>
    <chartFormat chart="6" format="22">
      <pivotArea type="data" outline="0" fieldPosition="0">
        <references count="2">
          <reference field="4294967294" count="1" selected="0">
            <x v="0"/>
          </reference>
          <reference field="2" count="1" selected="0">
            <x v="1"/>
          </reference>
        </references>
      </pivotArea>
    </chartFormat>
    <chartFormat chart="6" format="23">
      <pivotArea type="data" outline="0" fieldPosition="0">
        <references count="2">
          <reference field="4294967294" count="1" selected="0">
            <x v="0"/>
          </reference>
          <reference field="2" count="1" selected="0">
            <x v="2"/>
          </reference>
        </references>
      </pivotArea>
    </chartFormat>
    <chartFormat chart="6" format="24">
      <pivotArea type="data" outline="0" fieldPosition="0">
        <references count="2">
          <reference field="4294967294" count="1" selected="0">
            <x v="0"/>
          </reference>
          <reference field="2" count="1" selected="0">
            <x v="3"/>
          </reference>
        </references>
      </pivotArea>
    </chartFormat>
    <chartFormat chart="7" format="25" series="1">
      <pivotArea type="data" outline="0" fieldPosition="0">
        <references count="1">
          <reference field="4294967294" count="1" selected="0">
            <x v="0"/>
          </reference>
        </references>
      </pivotArea>
    </chartFormat>
    <chartFormat chart="7" format="26">
      <pivotArea type="data" outline="0" fieldPosition="0">
        <references count="2">
          <reference field="4294967294" count="1" selected="0">
            <x v="0"/>
          </reference>
          <reference field="2" count="1" selected="0">
            <x v="0"/>
          </reference>
        </references>
      </pivotArea>
    </chartFormat>
    <chartFormat chart="7" format="27">
      <pivotArea type="data" outline="0" fieldPosition="0">
        <references count="2">
          <reference field="4294967294" count="1" selected="0">
            <x v="0"/>
          </reference>
          <reference field="2" count="1" selected="0">
            <x v="1"/>
          </reference>
        </references>
      </pivotArea>
    </chartFormat>
    <chartFormat chart="7" format="28">
      <pivotArea type="data" outline="0" fieldPosition="0">
        <references count="2">
          <reference field="4294967294" count="1" selected="0">
            <x v="0"/>
          </reference>
          <reference field="2" count="1" selected="0">
            <x v="2"/>
          </reference>
        </references>
      </pivotArea>
    </chartFormat>
    <chartFormat chart="7" format="29">
      <pivotArea type="data" outline="0" fieldPosition="0">
        <references count="2">
          <reference field="4294967294" count="1" selected="0">
            <x v="0"/>
          </reference>
          <reference field="2" count="1" selected="0">
            <x v="3"/>
          </reference>
        </references>
      </pivotArea>
    </chartFormat>
    <chartFormat chart="8" format="20" series="1">
      <pivotArea type="data" outline="0" fieldPosition="0">
        <references count="1">
          <reference field="4294967294" count="1" selected="0">
            <x v="0"/>
          </reference>
        </references>
      </pivotArea>
    </chartFormat>
    <chartFormat chart="8" format="21">
      <pivotArea type="data" outline="0" fieldPosition="0">
        <references count="2">
          <reference field="4294967294" count="1" selected="0">
            <x v="0"/>
          </reference>
          <reference field="2" count="1" selected="0">
            <x v="0"/>
          </reference>
        </references>
      </pivotArea>
    </chartFormat>
    <chartFormat chart="8" format="22">
      <pivotArea type="data" outline="0" fieldPosition="0">
        <references count="2">
          <reference field="4294967294" count="1" selected="0">
            <x v="0"/>
          </reference>
          <reference field="2" count="1" selected="0">
            <x v="1"/>
          </reference>
        </references>
      </pivotArea>
    </chartFormat>
    <chartFormat chart="8" format="23">
      <pivotArea type="data" outline="0" fieldPosition="0">
        <references count="2">
          <reference field="4294967294" count="1" selected="0">
            <x v="0"/>
          </reference>
          <reference field="2" count="1" selected="0">
            <x v="2"/>
          </reference>
        </references>
      </pivotArea>
    </chartFormat>
    <chartFormat chart="8" format="24">
      <pivotArea type="data" outline="0" fieldPosition="0">
        <references count="2">
          <reference field="4294967294" count="1" selected="0">
            <x v="0"/>
          </reference>
          <reference field="2" count="1" selected="0">
            <x v="3"/>
          </reference>
        </references>
      </pivotArea>
    </chartFormat>
    <chartFormat chart="9" format="25" series="1">
      <pivotArea type="data" outline="0" fieldPosition="0">
        <references count="1">
          <reference field="4294967294" count="1" selected="0">
            <x v="0"/>
          </reference>
        </references>
      </pivotArea>
    </chartFormat>
    <chartFormat chart="9" format="26">
      <pivotArea type="data" outline="0" fieldPosition="0">
        <references count="2">
          <reference field="4294967294" count="1" selected="0">
            <x v="0"/>
          </reference>
          <reference field="2" count="1" selected="0">
            <x v="0"/>
          </reference>
        </references>
      </pivotArea>
    </chartFormat>
    <chartFormat chart="9" format="27">
      <pivotArea type="data" outline="0" fieldPosition="0">
        <references count="2">
          <reference field="4294967294" count="1" selected="0">
            <x v="0"/>
          </reference>
          <reference field="2" count="1" selected="0">
            <x v="1"/>
          </reference>
        </references>
      </pivotArea>
    </chartFormat>
    <chartFormat chart="9" format="28">
      <pivotArea type="data" outline="0" fieldPosition="0">
        <references count="2">
          <reference field="4294967294" count="1" selected="0">
            <x v="0"/>
          </reference>
          <reference field="2" count="1" selected="0">
            <x v="2"/>
          </reference>
        </references>
      </pivotArea>
    </chartFormat>
    <chartFormat chart="9" format="29">
      <pivotArea type="data" outline="0" fieldPosition="0">
        <references count="2">
          <reference field="4294967294" count="1" selected="0">
            <x v="0"/>
          </reference>
          <reference field="2" count="1" selected="0">
            <x v="3"/>
          </reference>
        </references>
      </pivotArea>
    </chartFormat>
    <chartFormat chart="10" format="30" series="1">
      <pivotArea type="data" outline="0" fieldPosition="0">
        <references count="1">
          <reference field="4294967294" count="1" selected="0">
            <x v="0"/>
          </reference>
        </references>
      </pivotArea>
    </chartFormat>
    <chartFormat chart="10" format="31">
      <pivotArea type="data" outline="0" fieldPosition="0">
        <references count="2">
          <reference field="4294967294" count="1" selected="0">
            <x v="0"/>
          </reference>
          <reference field="2" count="1" selected="0">
            <x v="0"/>
          </reference>
        </references>
      </pivotArea>
    </chartFormat>
    <chartFormat chart="10" format="32">
      <pivotArea type="data" outline="0" fieldPosition="0">
        <references count="2">
          <reference field="4294967294" count="1" selected="0">
            <x v="0"/>
          </reference>
          <reference field="2" count="1" selected="0">
            <x v="1"/>
          </reference>
        </references>
      </pivotArea>
    </chartFormat>
    <chartFormat chart="10" format="33">
      <pivotArea type="data" outline="0" fieldPosition="0">
        <references count="2">
          <reference field="4294967294" count="1" selected="0">
            <x v="0"/>
          </reference>
          <reference field="2" count="1" selected="0">
            <x v="2"/>
          </reference>
        </references>
      </pivotArea>
    </chartFormat>
    <chartFormat chart="10" format="34">
      <pivotArea type="data" outline="0" fieldPosition="0">
        <references count="2">
          <reference field="4294967294" count="1" selected="0">
            <x v="0"/>
          </reference>
          <reference field="2" count="1" selected="0">
            <x v="3"/>
          </reference>
        </references>
      </pivotArea>
    </chartFormat>
    <chartFormat chart="11" format="35" series="1">
      <pivotArea type="data" outline="0" fieldPosition="0">
        <references count="1">
          <reference field="4294967294" count="1" selected="0">
            <x v="0"/>
          </reference>
        </references>
      </pivotArea>
    </chartFormat>
    <chartFormat chart="11" format="36">
      <pivotArea type="data" outline="0" fieldPosition="0">
        <references count="2">
          <reference field="4294967294" count="1" selected="0">
            <x v="0"/>
          </reference>
          <reference field="2" count="1" selected="0">
            <x v="0"/>
          </reference>
        </references>
      </pivotArea>
    </chartFormat>
    <chartFormat chart="11" format="37">
      <pivotArea type="data" outline="0" fieldPosition="0">
        <references count="2">
          <reference field="4294967294" count="1" selected="0">
            <x v="0"/>
          </reference>
          <reference field="2" count="1" selected="0">
            <x v="1"/>
          </reference>
        </references>
      </pivotArea>
    </chartFormat>
    <chartFormat chart="11" format="38">
      <pivotArea type="data" outline="0" fieldPosition="0">
        <references count="2">
          <reference field="4294967294" count="1" selected="0">
            <x v="0"/>
          </reference>
          <reference field="2" count="1" selected="0">
            <x v="2"/>
          </reference>
        </references>
      </pivotArea>
    </chartFormat>
    <chartFormat chart="11" format="39">
      <pivotArea type="data" outline="0" fieldPosition="0">
        <references count="2">
          <reference field="4294967294" count="1" selected="0">
            <x v="0"/>
          </reference>
          <reference field="2" count="1" selected="0">
            <x v="3"/>
          </reference>
        </references>
      </pivotArea>
    </chartFormat>
    <chartFormat chart="12" format="40" series="1">
      <pivotArea type="data" outline="0" fieldPosition="0">
        <references count="1">
          <reference field="4294967294" count="1" selected="0">
            <x v="0"/>
          </reference>
        </references>
      </pivotArea>
    </chartFormat>
    <chartFormat chart="12" format="41">
      <pivotArea type="data" outline="0" fieldPosition="0">
        <references count="2">
          <reference field="4294967294" count="1" selected="0">
            <x v="0"/>
          </reference>
          <reference field="2" count="1" selected="0">
            <x v="0"/>
          </reference>
        </references>
      </pivotArea>
    </chartFormat>
    <chartFormat chart="12" format="42">
      <pivotArea type="data" outline="0" fieldPosition="0">
        <references count="2">
          <reference field="4294967294" count="1" selected="0">
            <x v="0"/>
          </reference>
          <reference field="2" count="1" selected="0">
            <x v="1"/>
          </reference>
        </references>
      </pivotArea>
    </chartFormat>
    <chartFormat chart="12" format="43">
      <pivotArea type="data" outline="0" fieldPosition="0">
        <references count="2">
          <reference field="4294967294" count="1" selected="0">
            <x v="0"/>
          </reference>
          <reference field="2" count="1" selected="0">
            <x v="2"/>
          </reference>
        </references>
      </pivotArea>
    </chartFormat>
    <chartFormat chart="12" format="44">
      <pivotArea type="data" outline="0" fieldPosition="0">
        <references count="2">
          <reference field="4294967294" count="1" selected="0">
            <x v="0"/>
          </reference>
          <reference field="2" count="1" selected="0">
            <x v="3"/>
          </reference>
        </references>
      </pivotArea>
    </chartFormat>
    <chartFormat chart="13" format="45" series="1">
      <pivotArea type="data" outline="0" fieldPosition="0">
        <references count="1">
          <reference field="4294967294" count="1" selected="0">
            <x v="0"/>
          </reference>
        </references>
      </pivotArea>
    </chartFormat>
    <chartFormat chart="13" format="46">
      <pivotArea type="data" outline="0" fieldPosition="0">
        <references count="2">
          <reference field="4294967294" count="1" selected="0">
            <x v="0"/>
          </reference>
          <reference field="2" count="1" selected="0">
            <x v="0"/>
          </reference>
        </references>
      </pivotArea>
    </chartFormat>
    <chartFormat chart="13" format="47">
      <pivotArea type="data" outline="0" fieldPosition="0">
        <references count="2">
          <reference field="4294967294" count="1" selected="0">
            <x v="0"/>
          </reference>
          <reference field="2" count="1" selected="0">
            <x v="1"/>
          </reference>
        </references>
      </pivotArea>
    </chartFormat>
    <chartFormat chart="13" format="48">
      <pivotArea type="data" outline="0" fieldPosition="0">
        <references count="2">
          <reference field="4294967294" count="1" selected="0">
            <x v="0"/>
          </reference>
          <reference field="2" count="1" selected="0">
            <x v="2"/>
          </reference>
        </references>
      </pivotArea>
    </chartFormat>
    <chartFormat chart="13" format="49">
      <pivotArea type="data" outline="0" fieldPosition="0">
        <references count="2">
          <reference field="4294967294" count="1" selected="0">
            <x v="0"/>
          </reference>
          <reference field="2" count="1" selected="0">
            <x v="3"/>
          </reference>
        </references>
      </pivotArea>
    </chartFormat>
    <chartFormat chart="14" format="50" series="1">
      <pivotArea type="data" outline="0" fieldPosition="0">
        <references count="1">
          <reference field="4294967294" count="1" selected="0">
            <x v="0"/>
          </reference>
        </references>
      </pivotArea>
    </chartFormat>
    <chartFormat chart="14" format="51">
      <pivotArea type="data" outline="0" fieldPosition="0">
        <references count="2">
          <reference field="4294967294" count="1" selected="0">
            <x v="0"/>
          </reference>
          <reference field="2" count="1" selected="0">
            <x v="0"/>
          </reference>
        </references>
      </pivotArea>
    </chartFormat>
    <chartFormat chart="14" format="52">
      <pivotArea type="data" outline="0" fieldPosition="0">
        <references count="2">
          <reference field="4294967294" count="1" selected="0">
            <x v="0"/>
          </reference>
          <reference field="2" count="1" selected="0">
            <x v="1"/>
          </reference>
        </references>
      </pivotArea>
    </chartFormat>
    <chartFormat chart="14" format="53">
      <pivotArea type="data" outline="0" fieldPosition="0">
        <references count="2">
          <reference field="4294967294" count="1" selected="0">
            <x v="0"/>
          </reference>
          <reference field="2" count="1" selected="0">
            <x v="2"/>
          </reference>
        </references>
      </pivotArea>
    </chartFormat>
    <chartFormat chart="14" format="54">
      <pivotArea type="data" outline="0" fieldPosition="0">
        <references count="2">
          <reference field="4294967294" count="1" selected="0">
            <x v="0"/>
          </reference>
          <reference field="2" count="1" selected="0">
            <x v="3"/>
          </reference>
        </references>
      </pivotArea>
    </chartFormat>
    <chartFormat chart="15" format="55" series="1">
      <pivotArea type="data" outline="0" fieldPosition="0">
        <references count="1">
          <reference field="4294967294" count="1" selected="0">
            <x v="0"/>
          </reference>
        </references>
      </pivotArea>
    </chartFormat>
    <chartFormat chart="15" format="56">
      <pivotArea type="data" outline="0" fieldPosition="0">
        <references count="2">
          <reference field="4294967294" count="1" selected="0">
            <x v="0"/>
          </reference>
          <reference field="2" count="1" selected="0">
            <x v="0"/>
          </reference>
        </references>
      </pivotArea>
    </chartFormat>
    <chartFormat chart="15" format="57">
      <pivotArea type="data" outline="0" fieldPosition="0">
        <references count="2">
          <reference field="4294967294" count="1" selected="0">
            <x v="0"/>
          </reference>
          <reference field="2" count="1" selected="0">
            <x v="1"/>
          </reference>
        </references>
      </pivotArea>
    </chartFormat>
    <chartFormat chart="15" format="58">
      <pivotArea type="data" outline="0" fieldPosition="0">
        <references count="2">
          <reference field="4294967294" count="1" selected="0">
            <x v="0"/>
          </reference>
          <reference field="2" count="1" selected="0">
            <x v="2"/>
          </reference>
        </references>
      </pivotArea>
    </chartFormat>
    <chartFormat chart="15" format="59">
      <pivotArea type="data" outline="0" fieldPosition="0">
        <references count="2">
          <reference field="4294967294" count="1" selected="0">
            <x v="0"/>
          </reference>
          <reference field="2" count="1" selected="0">
            <x v="3"/>
          </reference>
        </references>
      </pivotArea>
    </chartFormat>
    <chartFormat chart="16" format="60" series="1">
      <pivotArea type="data" outline="0" fieldPosition="0">
        <references count="1">
          <reference field="4294967294" count="1" selected="0">
            <x v="0"/>
          </reference>
        </references>
      </pivotArea>
    </chartFormat>
    <chartFormat chart="16" format="61">
      <pivotArea type="data" outline="0" fieldPosition="0">
        <references count="2">
          <reference field="4294967294" count="1" selected="0">
            <x v="0"/>
          </reference>
          <reference field="2" count="1" selected="0">
            <x v="0"/>
          </reference>
        </references>
      </pivotArea>
    </chartFormat>
    <chartFormat chart="16" format="62">
      <pivotArea type="data" outline="0" fieldPosition="0">
        <references count="2">
          <reference field="4294967294" count="1" selected="0">
            <x v="0"/>
          </reference>
          <reference field="2" count="1" selected="0">
            <x v="1"/>
          </reference>
        </references>
      </pivotArea>
    </chartFormat>
    <chartFormat chart="16" format="63">
      <pivotArea type="data" outline="0" fieldPosition="0">
        <references count="2">
          <reference field="4294967294" count="1" selected="0">
            <x v="0"/>
          </reference>
          <reference field="2" count="1" selected="0">
            <x v="2"/>
          </reference>
        </references>
      </pivotArea>
    </chartFormat>
    <chartFormat chart="16" format="64">
      <pivotArea type="data" outline="0" fieldPosition="0">
        <references count="2">
          <reference field="4294967294" count="1" selected="0">
            <x v="0"/>
          </reference>
          <reference field="2" count="1" selected="0">
            <x v="3"/>
          </reference>
        </references>
      </pivotArea>
    </chartFormat>
    <chartFormat chart="17" format="65" series="1">
      <pivotArea type="data" outline="0" fieldPosition="0">
        <references count="1">
          <reference field="4294967294" count="1" selected="0">
            <x v="0"/>
          </reference>
        </references>
      </pivotArea>
    </chartFormat>
    <chartFormat chart="17" format="66">
      <pivotArea type="data" outline="0" fieldPosition="0">
        <references count="2">
          <reference field="4294967294" count="1" selected="0">
            <x v="0"/>
          </reference>
          <reference field="2" count="1" selected="0">
            <x v="0"/>
          </reference>
        </references>
      </pivotArea>
    </chartFormat>
    <chartFormat chart="17" format="67">
      <pivotArea type="data" outline="0" fieldPosition="0">
        <references count="2">
          <reference field="4294967294" count="1" selected="0">
            <x v="0"/>
          </reference>
          <reference field="2" count="1" selected="0">
            <x v="1"/>
          </reference>
        </references>
      </pivotArea>
    </chartFormat>
    <chartFormat chart="17" format="68">
      <pivotArea type="data" outline="0" fieldPosition="0">
        <references count="2">
          <reference field="4294967294" count="1" selected="0">
            <x v="0"/>
          </reference>
          <reference field="2" count="1" selected="0">
            <x v="2"/>
          </reference>
        </references>
      </pivotArea>
    </chartFormat>
    <chartFormat chart="17" format="69">
      <pivotArea type="data" outline="0" fieldPosition="0">
        <references count="2">
          <reference field="4294967294" count="1" selected="0">
            <x v="0"/>
          </reference>
          <reference field="2" count="1" selected="0">
            <x v="3"/>
          </reference>
        </references>
      </pivotArea>
    </chartFormat>
    <chartFormat chart="18" format="70" series="1">
      <pivotArea type="data" outline="0" fieldPosition="0">
        <references count="1">
          <reference field="4294967294" count="1" selected="0">
            <x v="0"/>
          </reference>
        </references>
      </pivotArea>
    </chartFormat>
    <chartFormat chart="18" format="71">
      <pivotArea type="data" outline="0" fieldPosition="0">
        <references count="2">
          <reference field="4294967294" count="1" selected="0">
            <x v="0"/>
          </reference>
          <reference field="2" count="1" selected="0">
            <x v="0"/>
          </reference>
        </references>
      </pivotArea>
    </chartFormat>
    <chartFormat chart="18" format="72">
      <pivotArea type="data" outline="0" fieldPosition="0">
        <references count="2">
          <reference field="4294967294" count="1" selected="0">
            <x v="0"/>
          </reference>
          <reference field="2" count="1" selected="0">
            <x v="1"/>
          </reference>
        </references>
      </pivotArea>
    </chartFormat>
    <chartFormat chart="18" format="73">
      <pivotArea type="data" outline="0" fieldPosition="0">
        <references count="2">
          <reference field="4294967294" count="1" selected="0">
            <x v="0"/>
          </reference>
          <reference field="2" count="1" selected="0">
            <x v="2"/>
          </reference>
        </references>
      </pivotArea>
    </chartFormat>
    <chartFormat chart="18" format="74">
      <pivotArea type="data" outline="0" fieldPosition="0">
        <references count="2">
          <reference field="4294967294" count="1" selected="0">
            <x v="0"/>
          </reference>
          <reference field="2" count="1" selected="0">
            <x v="3"/>
          </reference>
        </references>
      </pivotArea>
    </chartFormat>
    <chartFormat chart="19" format="75" series="1">
      <pivotArea type="data" outline="0" fieldPosition="0">
        <references count="1">
          <reference field="4294967294" count="1" selected="0">
            <x v="0"/>
          </reference>
        </references>
      </pivotArea>
    </chartFormat>
    <chartFormat chart="19" format="76">
      <pivotArea type="data" outline="0" fieldPosition="0">
        <references count="2">
          <reference field="4294967294" count="1" selected="0">
            <x v="0"/>
          </reference>
          <reference field="2" count="1" selected="0">
            <x v="0"/>
          </reference>
        </references>
      </pivotArea>
    </chartFormat>
    <chartFormat chart="19" format="77">
      <pivotArea type="data" outline="0" fieldPosition="0">
        <references count="2">
          <reference field="4294967294" count="1" selected="0">
            <x v="0"/>
          </reference>
          <reference field="2" count="1" selected="0">
            <x v="1"/>
          </reference>
        </references>
      </pivotArea>
    </chartFormat>
    <chartFormat chart="19" format="78">
      <pivotArea type="data" outline="0" fieldPosition="0">
        <references count="2">
          <reference field="4294967294" count="1" selected="0">
            <x v="0"/>
          </reference>
          <reference field="2" count="1" selected="0">
            <x v="2"/>
          </reference>
        </references>
      </pivotArea>
    </chartFormat>
    <chartFormat chart="19" format="79">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mini_qualifies_Yes_No1" xr10:uid="{00000000-0013-0000-FFFF-FFFF01000000}" sourceName="Gemini qualifies(Yes/No)">
  <pivotTables>
    <pivotTable tabId="3" name="PivotTable25"/>
  </pivotTables>
  <data>
    <tabular pivotCacheId="470415828">
      <items count="3">
        <i x="0" s="1"/>
        <i x="1" s="1"/>
        <i x="2"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_Inactive" xr10:uid="{00000000-0013-0000-FFFF-FFFF02000000}" sourceName="Active/Inactive">
  <pivotTables>
    <pivotTable tabId="23" name="PivotTable3"/>
  </pivotTables>
  <data>
    <tabular pivotCacheId="1287587906">
      <items count="9">
        <i x="5"/>
        <i x="2"/>
        <i x="4"/>
        <i x="3" s="1"/>
        <i x="1"/>
        <i x="0"/>
        <i x="6"/>
        <i x="7" nd="1"/>
        <i x="8"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rrent_Stage" xr10:uid="{00000000-0013-0000-FFFF-FFFF03000000}" sourceName="Current Stage ">
  <pivotTables>
    <pivotTable tabId="23" name="PivotTable8"/>
  </pivotTables>
  <data>
    <tabular pivotCacheId="43007593">
      <items count="7">
        <i x="0" s="1"/>
        <i x="4" nd="1"/>
        <i x="1" nd="1"/>
        <i x="5" nd="1"/>
        <i x="2" nd="1"/>
        <i x="6" nd="1"/>
        <i x="3"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_Inactive1" xr10:uid="{00000000-0013-0000-FFFF-FFFF04000000}" sourceName="Active/Inactive">
  <pivotTables>
    <pivotTable tabId="27" name="PivotTable1"/>
    <pivotTable tabId="27" name="PivotTable2"/>
    <pivotTable tabId="27" name="PivotTable3"/>
    <pivotTable tabId="27" name="PivotTable5"/>
    <pivotTable tabId="27" name="PivotTable6"/>
    <pivotTable tabId="27" name="PivotTable7"/>
  </pivotTables>
  <data>
    <tabular pivotCacheId="1287587906">
      <items count="9">
        <i x="5" s="1"/>
        <i x="2" s="1"/>
        <i x="4" s="1"/>
        <i x="3" s="1"/>
        <i x="1" s="1"/>
        <i x="0" s="1"/>
        <i x="6" s="1"/>
        <i x="7" s="1" nd="1"/>
        <i x="8"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 xr10:uid="{00000000-0013-0000-FFFF-FFFF05000000}" sourceName="Source">
  <pivotTables>
    <pivotTable tabId="27" name="PivotTable1"/>
    <pivotTable tabId="27" name="PivotTable2"/>
    <pivotTable tabId="27" name="PivotTable3"/>
    <pivotTable tabId="27" name="PivotTable5"/>
    <pivotTable tabId="27" name="PivotTable6"/>
    <pivotTable tabId="27" name="PivotTable7"/>
  </pivotTables>
  <data>
    <tabular pivotCacheId="1287587906">
      <items count="13">
        <i x="5" s="1"/>
        <i x="3" s="1"/>
        <i x="2" s="1"/>
        <i x="7" s="1"/>
        <i x="6" s="1"/>
        <i x="4" s="1"/>
        <i x="1" s="1"/>
        <i x="9" s="1"/>
        <i x="10" s="1"/>
        <i x="0" s="1"/>
        <i x="8" s="1"/>
        <i x="11" s="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_of_Tendering_authority" xr10:uid="{00000000-0013-0000-FFFF-FFFF06000000}" sourceName="Name of Tendering authority">
  <pivotTables>
    <pivotTable tabId="27" name="PivotTable1"/>
    <pivotTable tabId="27" name="PivotTable2"/>
    <pivotTable tabId="27" name="PivotTable3"/>
    <pivotTable tabId="27" name="PivotTable5"/>
    <pivotTable tabId="27" name="PivotTable6"/>
    <pivotTable tabId="27" name="PivotTable7"/>
  </pivotTables>
  <data>
    <tabular pivotCacheId="1287587906">
      <items count="48">
        <i x="14" s="1"/>
        <i x="46" s="1"/>
        <i x="18" s="1"/>
        <i x="22" s="1"/>
        <i x="10" s="1"/>
        <i x="19" s="1"/>
        <i x="17" s="1"/>
        <i x="27" s="1"/>
        <i x="35" s="1"/>
        <i x="28" s="1"/>
        <i x="20" s="1"/>
        <i x="38" s="1"/>
        <i x="26" s="1"/>
        <i x="32" s="1"/>
        <i x="33" s="1"/>
        <i x="31" s="1"/>
        <i x="12" s="1"/>
        <i x="25" s="1"/>
        <i x="16" s="1"/>
        <i x="42" s="1"/>
        <i x="44" s="1"/>
        <i x="34" s="1"/>
        <i x="1" s="1"/>
        <i x="15" s="1"/>
        <i x="5" s="1"/>
        <i x="7" s="1"/>
        <i x="39" s="1"/>
        <i x="2" s="1"/>
        <i x="6" s="1"/>
        <i x="21" s="1"/>
        <i x="8" s="1"/>
        <i x="41" s="1"/>
        <i x="9" s="1"/>
        <i x="45" s="1"/>
        <i x="11" s="1"/>
        <i x="3" s="1"/>
        <i x="0" s="1"/>
        <i x="40" s="1"/>
        <i x="30" s="1"/>
        <i x="13" s="1"/>
        <i x="43" s="1"/>
        <i x="4" s="1"/>
        <i x="36" s="1"/>
        <i x="24" s="1"/>
        <i x="29" s="1"/>
        <i x="23" s="1"/>
        <i x="37" s="1"/>
        <i x="47" s="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mary_reason_of_disqualification" xr10:uid="{00000000-0013-0000-FFFF-FFFF07000000}" sourceName="Primary reason of disqualification">
  <pivotTables>
    <pivotTable tabId="27" name="PivotTable1"/>
    <pivotTable tabId="27" name="PivotTable2"/>
    <pivotTable tabId="27" name="PivotTable3"/>
    <pivotTable tabId="27" name="PivotTable5"/>
    <pivotTable tabId="27" name="PivotTable6"/>
    <pivotTable tabId="27" name="PivotTable7"/>
  </pivotTables>
  <data>
    <tabular pivotCacheId="1287587906">
      <items count="19">
        <i x="17" s="1"/>
        <i x="11" s="1"/>
        <i x="15" s="1"/>
        <i x="9" s="1"/>
        <i x="0" s="1"/>
        <i x="8" s="1"/>
        <i x="7" s="1"/>
        <i x="5" s="1"/>
        <i x="18" s="1"/>
        <i x="1" s="1"/>
        <i x="14" s="1"/>
        <i x="16" s="1"/>
        <i x="6" s="1"/>
        <i x="3" s="1"/>
        <i x="2" s="1"/>
        <i x="10" s="1"/>
        <i x="12" s="1"/>
        <i x="4" s="1"/>
        <i x="13" s="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received__Month_Year" xr10:uid="{00000000-0013-0000-FFFF-FFFF08000000}" sourceName="Date received (Month/Year)">
  <pivotTables>
    <pivotTable tabId="27" name="PivotTable1"/>
    <pivotTable tabId="27" name="PivotTable2"/>
    <pivotTable tabId="27" name="PivotTable3"/>
    <pivotTable tabId="27" name="PivotTable5"/>
    <pivotTable tabId="27" name="PivotTable6"/>
    <pivotTable tabId="27" name="PivotTable7"/>
  </pivotTables>
  <data>
    <tabular pivotCacheId="1287587906">
      <items count="16">
        <i x="7" s="1"/>
        <i x="3" s="1"/>
        <i x="5" s="1"/>
        <i x="4" s="1"/>
        <i x="6" s="1"/>
        <i x="8" s="1"/>
        <i x="2" s="1"/>
        <i x="1" s="1"/>
        <i x="0" s="1"/>
        <i x="9" s="1"/>
        <i x="11" s="1" nd="1"/>
        <i x="13" s="1" nd="1"/>
        <i x="10" s="1" nd="1"/>
        <i x="15" s="1" nd="1"/>
        <i x="14" s="1" nd="1"/>
        <i x="12"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nderer" xr10:uid="{00000000-0013-0000-FFFF-FFFF09000000}" sourceName="Tenderer">
  <pivotTables>
    <pivotTable tabId="30" name="PivotTable1"/>
  </pivotTables>
  <data>
    <tabular pivotCacheId="1287587907">
      <items count="6">
        <i x="1" s="1"/>
        <i x="4" s="1"/>
        <i x="3" s="1"/>
        <i x="2" s="1"/>
        <i x="0" s="1" nd="1"/>
        <i x="5"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00000000-0013-0000-FFFF-FFFF0A000000}" sourceName="Status">
  <pivotTables>
    <pivotTable tabId="30" name="PivotTable1"/>
  </pivotTables>
  <data>
    <tabular pivotCacheId="1287587907">
      <items count="6">
        <i x="2" s="1"/>
        <i x="1" s="1"/>
        <i x="3" s="1"/>
        <i x="5" s="1" nd="1"/>
        <i x="0" s="1" nd="1"/>
        <i x="4"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fund_status" xr10:uid="{00000000-0013-0000-FFFF-FFFF0B000000}" sourceName="Refund status">
  <pivotTables>
    <pivotTable tabId="30" name="PivotTable1"/>
  </pivotTables>
  <data>
    <tabular pivotCacheId="1287587907">
      <items count="5">
        <i x="0" s="1"/>
        <i x="2" s="1"/>
        <i x="3" s="1"/>
        <i x="1" s="1"/>
        <i x="4"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ments" xr10:uid="{00000000-0013-0000-FFFF-FFFF0C000000}" sourceName="Comments">
  <pivotTables>
    <pivotTable tabId="30" name="PivotTable1"/>
  </pivotTables>
  <data>
    <tabular pivotCacheId="1287587907">
      <items count="6">
        <i x="2" s="1"/>
        <i x="4" s="1"/>
        <i x="3" s="1"/>
        <i x="1" s="1"/>
        <i x="0" s="1" nd="1"/>
        <i x="5"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e/Inactive 1" xr10:uid="{00000000-0014-0000-FFFF-FFFF01000000}" cache="Slicer_Active_Inactive1" caption="Active/Inactive" columnCount="7" style="SlicerStyleLight1" rowHeight="234950"/>
  <slicer name="Source" xr10:uid="{00000000-0014-0000-FFFF-FFFF02000000}" cache="Slicer_Source" caption="Source" style="SlicerStyleLight1" rowHeight="234950"/>
  <slicer name="Name of Tendering authority" xr10:uid="{00000000-0014-0000-FFFF-FFFF03000000}" cache="Slicer_Name_of_Tendering_authority" caption="Name of Tendering authority" style="SlicerStyleLight1" rowHeight="234950"/>
  <slicer name="Primary reason of disqualification" xr10:uid="{00000000-0014-0000-FFFF-FFFF04000000}" cache="Slicer_Primary_reason_of_disqualification" caption="Primary reason of disqualification" style="SlicerStyleLight1" rowHeight="234950"/>
  <slicer name="Date received (Month/Year)" xr10:uid="{00000000-0014-0000-FFFF-FFFF05000000}" cache="Slicer_Date_received__Month_Year" caption="Date received (Month/Year)" columnCount="4" style="SlicerStyleLight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e/Inactive 3" xr10:uid="{00000000-0014-0000-FFFF-FFFF07000000}" cache="Slicer_Active_Inactive1" caption="Active/Inactive" startItem="7" columnCount="7" rowHeight="234950"/>
  <slicer name="Source 2" xr10:uid="{00000000-0014-0000-FFFF-FFFF08000000}" cache="Slicer_Source" caption="Source" rowHeight="234950"/>
  <slicer name="Name of Tendering authority 2" xr10:uid="{00000000-0014-0000-FFFF-FFFF09000000}" cache="Slicer_Name_of_Tendering_authority" caption="Name of Tendering authority" columnCount="2" rowHeight="234950"/>
  <slicer name="Primary reason of disqualification 2" xr10:uid="{00000000-0014-0000-FFFF-FFFF0A000000}" cache="Slicer_Primary_reason_of_disqualification" caption="Primary reason of disqualification" rowHeight="234950"/>
  <slicer name="Date received (Month/Year) 2" xr10:uid="{00000000-0014-0000-FFFF-FFFF0B000000}" cache="Slicer_Date_received__Month_Year" caption="Date received (Month/Year)" columnCount="4"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nderer 1" xr10:uid="{00000000-0014-0000-FFFF-FFFF0C000000}" cache="Slicer_Tenderer" caption="Tenderer" rowHeight="234950"/>
  <slicer name="Status 1" xr10:uid="{00000000-0014-0000-FFFF-FFFF0D000000}" cache="Slicer_Status" caption="Status" columnCount="6" rowHeight="234950"/>
  <slicer name="Refund status 1" xr10:uid="{00000000-0014-0000-FFFF-FFFF0E000000}" cache="Slicer_Refund_status" caption="Refund status" rowHeight="234950"/>
  <slicer name="Comments 1" xr10:uid="{00000000-0014-0000-FFFF-FFFF0F000000}" cache="Slicer_Comments" caption="Comments"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e/Inactive" xr10:uid="{00000000-0014-0000-FFFF-FFFF10000000}" cache="Slicer_Active_Inactive" caption="Active/Inactive" startItem="1" style="SlicerStyleLight1" rowHeight="228600"/>
  <slicer name="Current Stage " xr10:uid="{00000000-0014-0000-FFFF-FFFF11000000}" cache="Slicer_Current_Stage" caption="Current Stage " style="SlicerStyleLight1" rowHeight="2286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mini qualifies(Yes/No)" xr10:uid="{00000000-0014-0000-FFFF-FFFF12000000}" cache="Slicer_Gemini_qualifies_Yes_No1" caption="Gemini qualifies(Yes/No)" style="SlicerStyleLight1"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nderer" xr10:uid="{00000000-0014-0000-FFFF-FFFF13000000}" cache="Slicer_Tenderer" caption="Tenderer" style="SlicerStyleLight1" rowHeight="234950"/>
  <slicer name="Status" xr10:uid="{00000000-0014-0000-FFFF-FFFF14000000}" cache="Slicer_Status" caption="Status" style="SlicerStyleLight1" rowHeight="234950"/>
  <slicer name="Refund status" xr10:uid="{00000000-0014-0000-FFFF-FFFF15000000}" cache="Slicer_Refund_status" caption="Refund status" style="SlicerStyleLight1" rowHeight="234950"/>
  <slicer name="Comments" xr10:uid="{00000000-0014-0000-FFFF-FFFF16000000}" cache="Slicer_Comments" caption="Comments" style="SlicerStyleLight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G5" totalsRowShown="0">
  <autoFilter ref="A1:G5" xr:uid="{00000000-0009-0000-0100-000001000000}"/>
  <tableColumns count="7">
    <tableColumn id="1" xr3:uid="{00000000-0010-0000-0000-000001000000}" name="Tenderer"/>
    <tableColumn id="2" xr3:uid="{00000000-0010-0000-0000-000002000000}" name="Status"/>
    <tableColumn id="3" xr3:uid="{00000000-0010-0000-0000-000003000000}" name="Filed on"/>
    <tableColumn id="4" xr3:uid="{00000000-0010-0000-0000-000004000000}" name="EMD"/>
    <tableColumn id="5" xr3:uid="{00000000-0010-0000-0000-000005000000}" name="Application fees"/>
    <tableColumn id="6" xr3:uid="{00000000-0010-0000-0000-000006000000}" name="Refund status"/>
    <tableColumn id="7" xr3:uid="{00000000-0010-0000-0000-000007000000}" name="Comments" dataDxfId="29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 dT="2022-09-16T12:57:07.04" personId="{9B55A0CC-B97A-40F4-8A50-38FD40AA09A4}" id="{C07DFB62-9E54-438C-ACD0-53D84C85DE5C}">
    <text>Active status tells that we are currently working on the tender. Inactive is otherwise.</text>
  </threadedComment>
  <threadedComment ref="M2" dT="2022-09-14T11:42:23.41" personId="{9B55A0CC-B97A-40F4-8A50-38FD40AA09A4}" id="{43C2ADA0-09B9-4FE8-8882-3C29FC1FA143}">
    <text>14/09: Emailed for further information</text>
  </threadedComment>
  <threadedComment ref="M2" dT="2022-09-16T06:41:08.94" personId="{9B55A0CC-B97A-40F4-8A50-38FD40AA09A4}" id="{49ACD6B8-9CC4-4264-9E0B-0935005FE1E5}" parentId="{43C2ADA0-09B9-4FE8-8882-3C29FC1FA143}">
    <text>Received on 16/09</text>
  </threadedComment>
  <threadedComment ref="M2" dT="2022-09-26T08:19:07.43" personId="{8E3EC696-732B-4AAA-8E87-0D2813C9C6FB}" id="{F82C3649-0796-4175-8112-276DAFF890CB}" parentId="{43C2ADA0-09B9-4FE8-8882-3C29FC1FA143}">
    <text xml:space="preserve">Mailed for management view on  not qualifying criterias on 21st
</text>
  </threadedComment>
  <threadedComment ref="M3" dT="2022-09-14T11:42:04.36" personId="{9B55A0CC-B97A-40F4-8A50-38FD40AA09A4}" id="{53FC3E9B-7FDD-4B50-8896-941D5B2C6340}">
    <text>14/19: Sent mail-Hardware related requirements.
-Need more information, pls provide the pdfs for eligibility criteria details.</text>
  </threadedComment>
  <threadedComment ref="M3" dT="2022-09-16T06:41:30.82" personId="{9B55A0CC-B97A-40F4-8A50-38FD40AA09A4}" id="{2876ACB7-6F99-4784-82D5-EE18F71692CC}" parentId="{53FC3E9B-7FDD-4B50-8896-941D5B2C6340}">
    <text>All hardware requirements noted, site preparation, installation etc.</text>
  </threadedComment>
  <threadedComment ref="M9" dT="2022-09-28T09:44:28.25" personId="{8E3EC696-732B-4AAA-8E87-0D2813C9C6FB}" id="{12E423D7-5511-43DB-A8D5-5C6D000BCF9C}">
    <text>Not able to open the tender details link</text>
  </threadedComment>
  <threadedComment ref="M9" dT="2022-09-29T07:54:40.68" personId="{8E3EC696-732B-4AAA-8E87-0D2813C9C6FB}" id="{47032AE8-ED4B-4C68-8E9A-C338C1B34C4D}" parentId="{12E423D7-5511-43DB-A8D5-5C6D000BCF9C}">
    <text>Emailed Aman sir today as not able to locate the tender</text>
  </threadedComment>
  <threadedComment ref="M9" dT="2022-10-06T05:43:17.70" personId="{8E3EC696-732B-4AAA-8E87-0D2813C9C6FB}" id="{1FAA3C80-0835-4A8E-A819-E6C53C8C530E}" parentId="{12E423D7-5511-43DB-A8D5-5C6D000BCF9C}">
    <text>Reminders sent, last one on 4/10. Meeting scheduled on 7/10 to discuss further.</text>
  </threadedComment>
  <threadedComment ref="M9" dT="2022-10-07T10:34:47.65" personId="{8E3EC696-732B-4AAA-8E87-0D2813C9C6FB}" id="{9D4D0A21-5AA2-412D-8AC5-2405E40DA479}" parentId="{12E423D7-5511-43DB-A8D5-5C6D000BCF9C}">
    <text xml:space="preserve">No documents uploaded on web-confirmed by Aman sir
</text>
  </threadedComment>
  <threadedComment ref="M11" dT="2022-10-18T05:57:43.85" personId="{8E3EC696-732B-4AAA-8E87-0D2813C9C6FB}" id="{FE67801A-5C9F-415F-95E0-62805F2631F6}">
    <text>email sent on 12/10 to management to know qualification status</text>
  </threadedComment>
  <threadedComment ref="M11" dT="2022-10-20T08:17:08.54" personId="{8E3EC696-732B-4AAA-8E87-0D2813C9C6FB}" id="{6E543770-74B5-4256-B036-DE771EFA1CAD}" parentId="{FE67801A-5C9F-415F-95E0-62805F2631F6}">
    <text>No response received</text>
  </threadedComment>
  <threadedComment ref="M12" dT="2022-10-18T05:57:53.66" personId="{8E3EC696-732B-4AAA-8E87-0D2813C9C6FB}" id="{4AFF21D5-7441-4A30-9D38-ECDB912C08E7}">
    <text>email sent on 12/10 to management to know qualification status</text>
  </threadedComment>
  <threadedComment ref="M13" dT="2022-10-18T05:57:59.49" personId="{8E3EC696-732B-4AAA-8E87-0D2813C9C6FB}" id="{709D71FD-29CB-4FC2-BBEA-0C6E0962691F}">
    <text>email sent on 12/10 to management to know qualification status</text>
  </threadedComment>
  <threadedComment ref="M13" dT="2022-10-20T08:17:23.38" personId="{8E3EC696-732B-4AAA-8E87-0D2813C9C6FB}" id="{D4597130-5CE4-4AFD-AE96-59FABD6A58D4}" parentId="{709D71FD-29CB-4FC2-BBEA-0C6E0962691F}">
    <text>No response received</text>
  </threadedComment>
  <threadedComment ref="M14" dT="2022-10-18T05:58:05.47" personId="{8E3EC696-732B-4AAA-8E87-0D2813C9C6FB}" id="{CF9FC839-29BC-4B17-BF0D-4DA6197E48EC}">
    <text>email sent on 12/10 to management to know qualification status</text>
  </threadedComment>
  <threadedComment ref="M15" dT="2022-10-18T05:58:11.99" personId="{8E3EC696-732B-4AAA-8E87-0D2813C9C6FB}" id="{61A8F70A-742C-4707-8D09-86363C342FA3}">
    <text>email sent on 12/10 to management to know qualification status</text>
  </threadedComment>
  <threadedComment ref="M15" dT="2022-10-20T08:18:17.07" personId="{8E3EC696-732B-4AAA-8E87-0D2813C9C6FB}" id="{3CF9E31E-8B90-4839-B27A-F13C1426BAF3}" parentId="{61A8F70A-742C-4707-8D09-86363C342FA3}">
    <text>No response received</text>
  </threadedComment>
  <threadedComment ref="M16" dT="2022-10-18T05:58:17.86" personId="{8E3EC696-732B-4AAA-8E87-0D2813C9C6FB}" id="{09A7B4B1-2E23-4264-8435-531B09D1F27B}">
    <text>email sent on 12/10 to management to know qualification status</text>
  </threadedComment>
  <threadedComment ref="M16" dT="2022-10-27T07:48:11.92" personId="{8E3EC696-732B-4AAA-8E87-0D2813C9C6FB}" id="{A1EFE27A-547A-4325-AE53-B459E750BC9E}" parentId="{09A7B4B1-2E23-4264-8435-531B09D1F27B}">
    <text>No response received</text>
  </threadedComment>
  <threadedComment ref="M17" dT="2022-10-20T11:34:28.00" personId="{8E3EC696-732B-4AAA-8E87-0D2813C9C6FB}" id="{1FD96B67-8EFB-4DD9-88B7-D3576245B593}">
    <text>Sent for management advise on 20/10</text>
  </threadedComment>
  <threadedComment ref="M17" dT="2022-11-14T05:58:14.75" personId="{8E3EC696-732B-4AAA-8E87-0D2813C9C6FB}" id="{DE48CD31-14DF-4DEA-81DD-1BA16B85FC6E}" parentId="{1FD96B67-8EFB-4DD9-88B7-D3576245B593}">
    <text>No response received fro mngmt, closing the lead.</text>
  </threadedComment>
  <threadedComment ref="M18" dT="2022-10-20T11:34:34.72" personId="{8E3EC696-732B-4AAA-8E87-0D2813C9C6FB}" id="{6BD7D388-AE3F-4103-A4D3-2B4E46B036D3}">
    <text>Sent for management advise on 20/10</text>
  </threadedComment>
  <threadedComment ref="M18" dT="2022-10-27T07:49:05.91" personId="{8E3EC696-732B-4AAA-8E87-0D2813C9C6FB}" id="{20971A3C-D070-4693-BEC6-27872FE719FA}" parentId="{6BD7D388-AE3F-4103-A4D3-2B4E46B036D3}">
    <text>AP advised this tender can be ignored</text>
  </threadedComment>
  <threadedComment ref="M21" dT="2022-11-14T06:16:23.09" personId="{8E3EC696-732B-4AAA-8E87-0D2813C9C6FB}" id="{CB7909FB-196A-40BB-BAF7-C9EC35DC0323}">
    <text>Received response from Vishal Malik that we don have any child company through which we can waive CMMI3.</text>
  </threadedComment>
  <threadedComment ref="M22" dT="2022-11-23T12:47:57.09" personId="{8E3EC696-732B-4AAA-8E87-0D2813C9C6FB}" id="{EEB78F55-58EE-4C7E-B7E8-0F0B50D76309}">
    <text>Response from NY that we dont work on this tech</text>
  </threadedComment>
  <threadedComment ref="M22" dT="2022-11-25T08:10:31.66" personId="{8E3EC696-732B-4AAA-8E87-0D2813C9C6FB}" id="{DFBFD66C-9E2E-4C7F-BA96-39E59104C55E}" parentId="{EEB78F55-58EE-4C7E-B7E8-0F0B50D76309}">
    <text>Also got a calll for demo, however, we dont have this tech.</text>
  </threadedComment>
  <threadedComment ref="C23" dT="2022-12-22T12:39:50.98" personId="{8E3EC696-732B-4AAA-8E87-0D2813C9C6FB}" id="{FAD76039-E274-4F15-8582-BB81B46DC18C}">
    <text>filed on 9/12</text>
  </threadedComment>
  <threadedComment ref="C23" dT="2023-01-06T07:22:17.04" personId="{8E3EC696-732B-4AAA-8E87-0D2813C9C6FB}" id="{52DF013C-D023-434C-90A5-5FC5037D5A55}" parentId="{FAD76039-E274-4F15-8582-BB81B46DC18C}">
    <text>2 queries received till now</text>
  </threadedComment>
  <threadedComment ref="J23" dT="2022-11-28T14:17:01.60" personId="{8E3EC696-732B-4AAA-8E87-0D2813C9C6FB}" id="{FBBE18E3-F40B-44D5-B064-594796161472}">
    <text>We are going ahead with this tender, filing process initiated.</text>
  </threadedComment>
  <threadedComment ref="J23" dT="2022-12-15T08:17:03.24" personId="{8E3EC696-732B-4AAA-8E87-0D2813C9C6FB}" id="{C421646F-3EC0-47B6-A916-A13A9C558959}" parentId="{FBBE18E3-F40B-44D5-B064-594796161472}">
    <text>Last date of submission was 9/12; On 9/12 corrigendum was issued that last date of submission is 16/12 now.</text>
  </threadedComment>
  <threadedComment ref="J23" dT="2022-12-15T08:42:00.86" personId="{8E3EC696-732B-4AAA-8E87-0D2813C9C6FB}" id="{C98B1979-E05F-4C0E-BD9D-D0DEA4958BE5}" parentId="{FBBE18E3-F40B-44D5-B064-594796161472}">
    <text>Called epil, SPOC confirmed that they will email/upload shortlisting information on their website.</text>
  </threadedComment>
  <threadedComment ref="J23" dT="2022-12-29T07:43:51.49" personId="{8E3EC696-732B-4AAA-8E87-0D2813C9C6FB}" id="{F31005B8-8A3B-4ED6-9EDF-31AB363ADB54}" parentId="{FBBE18E3-F40B-44D5-B064-594796161472}">
    <text>Requirement raised by EPI to be given by 31/12</text>
  </threadedComment>
  <threadedComment ref="J24" dT="2022-11-23T12:49:19.18" personId="{8E3EC696-732B-4AAA-8E87-0D2813C9C6FB}" id="{55A6C1D2-43F4-453C-B9A4-320BA66A663E}">
    <text>aman sir to respond on its docs, msgd him on 22/11</text>
  </threadedComment>
  <threadedComment ref="J24" dT="2022-11-25T08:08:59.59" personId="{8E3EC696-732B-4AAA-8E87-0D2813C9C6FB}" id="{38AF5DFB-F4D1-43AF-B441-BA2DB4152663}" parentId="{55A6C1D2-43F4-453C-B9A4-320BA66A663E}">
    <text>Reminder sent twice, no response</text>
  </threadedComment>
  <threadedComment ref="C25" dT="2022-12-22T12:40:29.01" personId="{8E3EC696-732B-4AAA-8E87-0D2813C9C6FB}" id="{C2CA10F0-614C-44A0-86DE-8CBF322A610E}">
    <text>filed on 21/12</text>
  </threadedComment>
  <threadedComment ref="C25" dT="2023-01-06T07:22:40.31" personId="{8E3EC696-732B-4AAA-8E87-0D2813C9C6FB}" id="{53508716-B8AB-4AF2-BBF4-B2706F3D7E69}" parentId="{C2CA10F0-614C-44A0-86DE-8CBF322A610E}">
    <text>One query received responded back on 04/01</text>
  </threadedComment>
  <threadedComment ref="J25" dT="2022-11-30T14:15:40.25" personId="{8E3EC696-732B-4AAA-8E87-0D2813C9C6FB}" id="{1D8FE2FE-4AA8-4503-8488-17E904F2CF04}">
    <text>Pre-bid meeting to be attended by sunil/aman sir @Mohali</text>
  </threadedComment>
  <threadedComment ref="J25" dT="2022-11-30T14:15:57.42" personId="{8E3EC696-732B-4AAA-8E87-0D2813C9C6FB}" id="{794CF486-E3DE-4929-8899-5589B9288800}" parentId="{1D8FE2FE-4AA8-4503-8488-17E904F2CF04}">
    <text>on 01/12</text>
  </threadedComment>
  <threadedComment ref="J25" dT="2022-12-15T11:17:49.02" personId="{8E3EC696-732B-4AAA-8E87-0D2813C9C6FB}" id="{4B032958-0AFF-4967-AD54-597A39CFE880}" parentId="{1D8FE2FE-4AA8-4503-8488-17E904F2CF04}">
    <text>Cut-off date and time for bid submission: 22.12.2022 at 03:00 PM Date and time for bid opening: 23.12.2022 at 11:00 AM</text>
  </threadedComment>
  <threadedComment ref="J25" dT="2023-03-06T15:28:15.32" personId="{8E3EC696-732B-4AAA-8E87-0D2813C9C6FB}" id="{F5B03572-19C9-47B9-A3CF-272CDE1CCE76}" parentId="{1D8FE2FE-4AA8-4503-8488-17E904F2CF04}">
    <text>2 rounds cleared</text>
  </threadedComment>
  <threadedComment ref="J26" dT="2022-12-07T07:42:38.43" personId="{8E3EC696-732B-4AAA-8E87-0D2813C9C6FB}" id="{3D3A69D9-AE35-4ABF-8B09-29A8F5AAD746}">
    <text xml:space="preserve">No response received on waiver from UCO bank </text>
  </threadedComment>
  <threadedComment ref="J27" dT="2022-12-07T07:40:34.18" personId="{8E3EC696-732B-4AAA-8E87-0D2813C9C6FB}" id="{EBBCCADC-7540-42B5-B695-F9FDCA3F0F15}">
    <text>Very less days for final submission hence, not pursued.</text>
  </threadedComment>
  <threadedComment ref="C30" dT="2023-01-06T07:19:13.60" personId="{8E3EC696-732B-4AAA-8E87-0D2813C9C6FB}" id="{CBD226DA-0378-4803-B377-EE8DD7555F15}">
    <text>on 5/01/23</text>
  </threadedComment>
  <threadedComment ref="C30" dT="2023-01-10T12:14:40.14" personId="{8E3EC696-732B-4AAA-8E87-0D2813C9C6FB}" id="{0DFA1B50-BE46-4C6A-A9C3-7E29B98CD5CB}" parentId="{CBD226DA-0378-4803-B377-EE8DD7555F15}">
    <text>Tender is cancelled and EMD is refunded to our accounts.</text>
  </threadedComment>
  <threadedComment ref="J30" dT="2022-12-21T10:09:36.69" personId="{8E3EC696-732B-4AAA-8E87-0D2813C9C6FB}" id="{441A54DA-C9C3-4C66-AB54-A7947A33DA88}">
    <text>Sunil visited for pre-bid meet, they will issue corrigendum by EOM.</text>
  </threadedComment>
  <threadedComment ref="J30" dT="2022-12-28T05:52:05.33" personId="{8E3EC696-732B-4AAA-8E87-0D2813C9C6FB}" id="{8EE84571-A410-47FB-BED3-8C5E8C397C44}" parentId="{441A54DA-C9C3-4C66-AB54-A7947A33DA88}">
    <text xml:space="preserve">Corrigendum issued. CMMI waived. </text>
  </threadedComment>
  <threadedComment ref="J30" dT="2022-12-28T08:42:38.72" personId="{8E3EC696-732B-4AAA-8E87-0D2813C9C6FB}" id="{894C78DD-97D5-4AED-A59F-1D499B7663A9}" parentId="{441A54DA-C9C3-4C66-AB54-A7947A33DA88}">
    <text>Mailed EC-Arch for confirmation on Tech feasibility</text>
  </threadedComment>
  <threadedComment ref="J31" dT="2022-12-28T09:04:37.16" personId="{8E3EC696-732B-4AAA-8E87-0D2813C9C6FB}" id="{3BE4BF8F-8781-43F4-801B-EA7D499E0341}">
    <text>Informed Sunil that no corrigendum issued on our query of location being manadatory factor for qualifying hence, closing this from further processing.</text>
  </threadedComment>
  <threadedComment ref="J32" dT="2022-12-30T11:06:06.56" personId="{8E3EC696-732B-4AAA-8E87-0D2813C9C6FB}" id="{F6AB8827-26DE-460F-9B5F-E203B7CE59E4}">
    <text>AP questioned about project size, email EC-arch for clarification</text>
  </threadedComment>
  <threadedComment ref="J32" dT="2023-01-04T05:11:40.70" personId="{8E3EC696-732B-4AAA-8E87-0D2813C9C6FB}" id="{895C01EF-0223-4F2B-AAD5-810691542C4D}" parentId="{F6AB8827-26DE-460F-9B5F-E203B7CE59E4}">
    <text>Reminder sent to EC on 04/01</text>
  </threadedComment>
  <threadedComment ref="J32" dT="2023-01-11T06:15:05.50" personId="{8E3EC696-732B-4AAA-8E87-0D2813C9C6FB}" id="{32EE2AF2-41A6-4EF6-BAA2-982A6E5E7126}" parentId="{F6AB8827-26DE-460F-9B5F-E203B7CE59E4}">
    <text>nt able to arrange 2 completion cert as clients not cooperating</text>
  </threadedComment>
  <threadedComment ref="J33" dT="2022-12-28T11:28:26.03" personId="{703C5E24-E81C-4ABE-8B3E-8A7B952A556B}" id="{12C9D8CE-FF92-4C7A-8E07-B7E00E87AAD8}">
    <text>Query regarding location is sent to the auth contact</text>
  </threadedComment>
  <threadedComment ref="J33" dT="2022-12-30T11:06:43.54" personId="{8E3EC696-732B-4AAA-8E87-0D2813C9C6FB}" id="{D1603BBF-B4DA-43EA-AA91-BA36E9EC909A}" parentId="{12C9D8CE-FF92-4C7A-8E07-B7E00E87AAD8}">
    <text>Mailed mngmt</text>
  </threadedComment>
  <threadedComment ref="J33" dT="2023-01-06T07:41:47.35" personId="{8E3EC696-732B-4AAA-8E87-0D2813C9C6FB}" id="{F91BFBFC-885F-4306-89B0-9F9F414534E1}" parentId="{12C9D8CE-FF92-4C7A-8E07-B7E00E87AAD8}">
    <text>no response received.</text>
  </threadedComment>
  <threadedComment ref="J34" dT="2023-01-04T06:12:39.30" personId="{753226FF-718A-45EA-84F0-A50F3805D3DD}" id="{78F7388C-9C5F-4229-94CF-B5EE0F350834}">
    <text>No response from EC-ARch</text>
  </threadedComment>
</ThreadedComments>
</file>

<file path=xl/threadedComments/threadedComment2.xml><?xml version="1.0" encoding="utf-8"?>
<ThreadedComments xmlns="http://schemas.microsoft.com/office/spreadsheetml/2018/threadedcomments" xmlns:x="http://schemas.openxmlformats.org/spreadsheetml/2006/main">
  <threadedComment ref="D31" dT="2022-12-19T11:45:37.45" personId="{8E3EC696-732B-4AAA-8E87-0D2813C9C6FB}" id="{55798312-A193-4B24-9995-1ECE1D5EB770}">
    <text>Given our questions - they have asked for time to reconvene internally and will again schedule the Pre-bid call , in later part of December.....msg by Sunil</text>
  </threadedComment>
  <threadedComment ref="D35" dT="2023-01-06T08:00:06.06" personId="{8E3EC696-732B-4AAA-8E87-0D2813C9C6FB}" id="{3A07243A-1404-4411-B16F-9D0733E1CA2A}">
    <text>Not sent to managmeent as tech feasibility was not known, no response received on the same though.</text>
  </threadedComment>
</ThreadedComments>
</file>

<file path=xl/threadedComments/threadedComment3.xml><?xml version="1.0" encoding="utf-8"?>
<ThreadedComments xmlns="http://schemas.microsoft.com/office/spreadsheetml/2018/threadedcomments" xmlns:x="http://schemas.openxmlformats.org/spreadsheetml/2006/main">
  <threadedComment ref="H6" dT="2023-01-13T12:18:26.31" personId="{8E3EC696-732B-4AAA-8E87-0D2813C9C6FB}" id="{2C3E1419-70CC-4E23-902D-745BDA9B489D}">
    <text xml:space="preserve">
Contract for 1 year(extendable to 2 one-year periods)</text>
  </threadedComment>
</ThreadedComments>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_received" xr10:uid="{00000000-0013-0000-FFFF-FFFF0D000000}" sourceName="Date received">
  <pivotTables>
    <pivotTable tabId="27" name="PivotTable3"/>
    <pivotTable tabId="27" name="PivotTable1"/>
    <pivotTable tabId="27" name="PivotTable2"/>
    <pivotTable tabId="27" name="PivotTable5"/>
    <pivotTable tabId="27" name="PivotTable6"/>
    <pivotTable tabId="27" name="PivotTable7"/>
  </pivotTables>
  <state minimalRefreshVersion="6" lastRefreshVersion="6" pivotCacheId="1287587906" filterType="unknown">
    <bounds startDate="2022-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received" xr10:uid="{00000000-0014-0000-FFFF-FFFF06000000}" cache="NativeTimeline_Date_received" caption="Date received" level="2" selectionLevel="2" scrollPosition="2023-02-02T00:00:00"/>
</timeline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pivotTable" Target="../pivotTables/pivotTable4.xml"/><Relationship Id="rId7" Type="http://schemas.openxmlformats.org/officeDocument/2006/relationships/printerSettings" Target="../printerSettings/printerSettings2.bin"/><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10" Type="http://schemas.microsoft.com/office/2011/relationships/timeline" Target="../timelines/timeline1.xml"/><Relationship Id="rId4" Type="http://schemas.openxmlformats.org/officeDocument/2006/relationships/pivotTable" Target="../pivotTables/pivotTable5.xml"/><Relationship Id="rId9"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6.xml"/></Relationships>
</file>

<file path=xl/worksheets/_rels/sheet6.xml.rels><?xml version="1.0" encoding="UTF-8" standalone="yes"?>
<Relationships xmlns="http://schemas.openxmlformats.org/package/2006/relationships"><Relationship Id="rId13" Type="http://schemas.openxmlformats.org/officeDocument/2006/relationships/hyperlink" Target="https://www.tendertiger.com/viewtenderdetailnd.aspx?sbno=248321&amp;sbencp=2da274524314dc13d&amp;SrN=55952751&amp;encp=1866c180902333f79&amp;fav=1&amp;MailTrackId=25839963&amp;MailTrackEncp=48c8ed688c85890ee" TargetMode="External"/><Relationship Id="rId18" Type="http://schemas.openxmlformats.org/officeDocument/2006/relationships/hyperlink" Target="https://www.tendertiger.com/viewtenderdetailnd.aspx?sbno=248321&amp;sbencp=2da274524314dc13d&amp;SrN=56155420&amp;encp=062e73a033caacf10&amp;fav=1&amp;MailTrackId=25927714&amp;MailTrackEncp=e7d4433e65231711f" TargetMode="External"/><Relationship Id="rId26" Type="http://schemas.openxmlformats.org/officeDocument/2006/relationships/hyperlink" Target="https://bidplus.gem.gov.in/showbidDocument/4101017" TargetMode="External"/><Relationship Id="rId39" Type="http://schemas.openxmlformats.org/officeDocument/2006/relationships/hyperlink" Target="https://www.tendertiger.com/viewtenderdetailnd.aspx?sbno=248321&amp;sbencp=2da274524314dc13d&amp;SrN=60301027&amp;encp=cdb3b231049135526&amp;fav=1&amp;MailTrackId=27980226&amp;MailTrackEncp=67c3b935667dd9da5" TargetMode="External"/><Relationship Id="rId21" Type="http://schemas.openxmlformats.org/officeDocument/2006/relationships/hyperlink" Target="https://www.tendertiger.com/viewtenderdetailnd.aspx?sbno=248321&amp;sbencp=2da274524314dc13d&amp;SrN=56906707&amp;encp=11c64ed2802d22c2c&amp;fav=1&amp;MailTrackId=26273072&amp;MailTrackEncp=158ff811ee2d25553" TargetMode="External"/><Relationship Id="rId34" Type="http://schemas.openxmlformats.org/officeDocument/2006/relationships/hyperlink" Target="https://www.tendertiger.com/viewtenderdetailnd.aspx?sbno=248321&amp;sbencp=2da274524314dc13d&amp;SrN=59390077&amp;encp=e76e4f0f343a3a238&amp;fav=1&amp;MailTrackId=27538527&amp;MailTrackEncp=c930cbe2ec6ad6ef0" TargetMode="External"/><Relationship Id="rId42" Type="http://schemas.openxmlformats.org/officeDocument/2006/relationships/hyperlink" Target="https://geminisolutionsindpvtltd.sharepoint.com/:f:/r/sites/AppStrategy-PMO/Shared%20Documents/PMO/Tender%20work/Active%20tender/ICMR?csf=1&amp;web=1&amp;e=36qkMz" TargetMode="External"/><Relationship Id="rId47" Type="http://schemas.openxmlformats.org/officeDocument/2006/relationships/comments" Target="../comments1.xml"/><Relationship Id="rId7" Type="http://schemas.openxmlformats.org/officeDocument/2006/relationships/hyperlink" Target="../../../:i:/g/personal/aman_kbansal_geminisolutions_com/EfgA8hC9_UlGqUDpYs3pxlsB-j7ebk59FylzLlvhb20_1g%3fe=sZFXqq" TargetMode="External"/><Relationship Id="rId2" Type="http://schemas.openxmlformats.org/officeDocument/2006/relationships/hyperlink" Target="../../../:w:/g/personal/aman_kbansal_geminisolutions_com/EeIWkOnw-95HoHZG3Q1Us6IB5FBHI6J1RzWb0-UCEqnyMw%3fe=bgOI7T" TargetMode="External"/><Relationship Id="rId16" Type="http://schemas.openxmlformats.org/officeDocument/2006/relationships/hyperlink" Target="https://www.tendertiger.com/viewtenderdetailnd.aspx?sbno=248321&amp;sbencp=2da274524314dc13d&amp;SrN=56155420&amp;encp=062e73a033caacf10&amp;fav=1&amp;MailTrackId=25927714&amp;MailTrackEncp=e7d4433e65231711f" TargetMode="External"/><Relationship Id="rId29" Type="http://schemas.openxmlformats.org/officeDocument/2006/relationships/hyperlink" Target="https://mptenders.gov.in/nicgep/app?component=%24DirectLink&amp;page=FrontEndViewTender&amp;service=direct&amp;session=T&amp;sp=SlcIL%2BpFofxQ3BLKKtAmBFA%3D%3D" TargetMode="External"/><Relationship Id="rId1" Type="http://schemas.openxmlformats.org/officeDocument/2006/relationships/hyperlink" Target="../../../:w:/g/personal/aman_kbansal_geminisolutions_com/EQS60yGoHgdGro1hJ6Dw0PQBK3GNx3BWZCTBrMNMCG66jg%3fe=RNgi7g" TargetMode="External"/><Relationship Id="rId6" Type="http://schemas.openxmlformats.org/officeDocument/2006/relationships/hyperlink" Target="../../../:i:/g/personal/aman_kbansal_geminisolutions_com/EX-8NFPzxCpBlFuWT7DAHHcBNL_adAlkw5h5Wh1N24fN1A%3fe=T65or0" TargetMode="External"/><Relationship Id="rId11" Type="http://schemas.openxmlformats.org/officeDocument/2006/relationships/hyperlink" Target="https://www.tendertiger.com/viewtenderdetailnd.aspx?sbno=248321&amp;sbencp=2da274524314dc13d&amp;SrN=55954182&amp;encp=d315f910878c91096&amp;fav=1&amp;MailTrackId=25839963&amp;MailTrackEncp=48c8ed688c85890ee" TargetMode="External"/><Relationship Id="rId24" Type="http://schemas.openxmlformats.org/officeDocument/2006/relationships/hyperlink" Target="https://www.ucobank.com/english/tenders.aspx" TargetMode="External"/><Relationship Id="rId32" Type="http://schemas.openxmlformats.org/officeDocument/2006/relationships/hyperlink" Target="https://www.tendertiger.com/viewtenderdetailnd.aspx?sbno=248321&amp;sbencp=2da274524314dc13d&amp;SrN=58948804&amp;encp=e9b0149908f872285&amp;fav=1&amp;MailTrackId=27323745&amp;MailTrackEncp=93c9af4a7cf06a9be" TargetMode="External"/><Relationship Id="rId37" Type="http://schemas.openxmlformats.org/officeDocument/2006/relationships/hyperlink" Target="https://www.tendertiger.com/FreshTendersOfYourCategory.aspx?subno=248321&amp;subenc=2da274524314dc13d&amp;MailTrackId=27802426&amp;MailTrackEncp=236056f9c8b176a35&amp;keyword=Other+Software&amp;tdate=2023-2-24&amp;tdateenc=2962a7d4ccb4c8a9d" TargetMode="External"/><Relationship Id="rId40" Type="http://schemas.openxmlformats.org/officeDocument/2006/relationships/hyperlink" Target="https://www.tendertiger.com/viewtenderdetailnd.aspx?sbno=248321&amp;sbencp=2da274524314dc13d&amp;SrN=60327701&amp;encp=c48728ed9284a1e35&amp;fav=1&amp;MailTrackId=27997139&amp;MailTrackEncp=d515678d8ab8469a6" TargetMode="External"/><Relationship Id="rId45" Type="http://schemas.openxmlformats.org/officeDocument/2006/relationships/printerSettings" Target="../printerSettings/printerSettings4.bin"/><Relationship Id="rId5" Type="http://schemas.openxmlformats.org/officeDocument/2006/relationships/hyperlink" Target="../../../:b:/g/personal/aman_kbansal_geminisolutions_com/EZfssG35Eh5KmYYVxbqpCMoBXmfeHVZSprvbjC7_hIC-FQ%3fe=xFa1te" TargetMode="External"/><Relationship Id="rId15" Type="http://schemas.openxmlformats.org/officeDocument/2006/relationships/hyperlink" Target="https://www.tendertiger.com/viewtenderdetailnd.aspx?sbno=248321&amp;sbencp=2da274524314dc13d&amp;SrN=55276770&amp;encp=4bf6136af6f17476b&amp;fav=1&amp;MailTrackId=25822499&amp;MailTrackEncp=4ea480c819eda4aba" TargetMode="External"/><Relationship Id="rId23" Type="http://schemas.openxmlformats.org/officeDocument/2006/relationships/hyperlink" Target="https://www.tendertiger.com/viewtenderdetailnd.aspx?sbno=248321&amp;sbencp=2da274524314dc13d&amp;SrN=57250461&amp;encp=b5b4aad0d4eb61e21&amp;fav=1&amp;MailTrackId=26428326&amp;MailTrackEncp=4e371612d43d8a76d" TargetMode="External"/><Relationship Id="rId28" Type="http://schemas.openxmlformats.org/officeDocument/2006/relationships/hyperlink" Target="https://eprocure.gov.in/eprocure/app?component=%24DirectLink&amp;page=FrontEndViewTender&amp;service=direct&amp;session=T&amp;sp=Skg4quIbxGHm3jB7g5Fc%2FMw%3D%3D" TargetMode="External"/><Relationship Id="rId36" Type="http://schemas.openxmlformats.org/officeDocument/2006/relationships/hyperlink" Target="https://www.tendertiger.com/viewtenderdetailnd.aspx?sbno=248321&amp;sbencp=2da274524314dc13d&amp;SrN=59748953&amp;encp=f06c78b8ab9499284&amp;fav=1&amp;MailTrackId=27701256&amp;MailTrackEncp=7c074c405970561ef" TargetMode="External"/><Relationship Id="rId10" Type="http://schemas.openxmlformats.org/officeDocument/2006/relationships/hyperlink" Target="https://www.tendertiger.com/viewtenderdetailnd.aspx?sbno=248321&amp;sbencp=2da274524314dc13d&amp;SrN=55954959&amp;encp=f5ab381029563460a&amp;fav=1&amp;MailTrackId=25839963&amp;MailTrackEncp=48c8ed688c85890ee" TargetMode="External"/><Relationship Id="rId19" Type="http://schemas.openxmlformats.org/officeDocument/2006/relationships/hyperlink" Target="https://www.tendertiger.com/viewtenderdetailnd.aspx?sbno=248321&amp;sbencp=2da274524314dc13d&amp;SrN=56573447&amp;encp=445ffe4d0745cd8ec&amp;fav=1&amp;MailTrackId=26118337&amp;MailTrackEncp=5c64974494b49f7b6" TargetMode="External"/><Relationship Id="rId31" Type="http://schemas.openxmlformats.org/officeDocument/2006/relationships/hyperlink" Target="https://etenders.hry.nic.in/nicgep/app?component=%24DirectLink&amp;page=FrontEndViewTender&amp;service=direct&amp;session=T&amp;sp=S0TtOnZyLrX%2BvCIdpq22oBg%3D%3D" TargetMode="External"/><Relationship Id="rId44" Type="http://schemas.openxmlformats.org/officeDocument/2006/relationships/hyperlink" Target="https://etenders.hry.nic.in/nicgep/app?component=%24DirectLink&amp;page=FrontEndViewTender&amp;service=direct&amp;session=T&amp;sp=S3I78pTs3KV2JXk75SM2fZQ%3D%3D" TargetMode="External"/><Relationship Id="rId4" Type="http://schemas.openxmlformats.org/officeDocument/2006/relationships/hyperlink" Target="../../../:i:/g/personal/aman_kbansal_geminisolutions_com/EX-8NFPzxCpBlFuWT7DAHHcBNL_adAlkw5h5Wh1N24fN1A%3fe=T65or0" TargetMode="External"/><Relationship Id="rId9" Type="http://schemas.openxmlformats.org/officeDocument/2006/relationships/hyperlink" Target="../../../:u:/g/personal/aman_kbansal_geminisolutions_com/EeZFpuOZtBlAnn5vd402WesBRMtVz3JuVw7PFQQ_wo0uPQ%3fe=Do5LIG" TargetMode="External"/><Relationship Id="rId14" Type="http://schemas.openxmlformats.org/officeDocument/2006/relationships/hyperlink" Target="https://tenders.hpcl.co.in/tenders/tender_prog/Tenders_details.asp?id=113338" TargetMode="External"/><Relationship Id="rId22" Type="http://schemas.openxmlformats.org/officeDocument/2006/relationships/hyperlink" Target="https://www.tendertiger.com/viewtenderdetailnd.aspx?sbno=248321&amp;sbencp=2da274524314dc13d&amp;SrN=57190438&amp;encp=8525e01667c0f5df0&amp;fav=1&amp;MailTrackId=26411158&amp;MailTrackEncp=ba181ef4e8c4c00f7" TargetMode="External"/><Relationship Id="rId27" Type="http://schemas.openxmlformats.org/officeDocument/2006/relationships/hyperlink" Target="https://mptenders.gov.in/nicgep/app?component=%24DirectLink&amp;page=FrontEndViewTender&amp;service=direct&amp;session=T&amp;sp=SI%2B2E8%2BqIeaLx10OYuaHtBg%3D%3D" TargetMode="External"/><Relationship Id="rId30" Type="http://schemas.openxmlformats.org/officeDocument/2006/relationships/hyperlink" Target="https://geminisolutionsindpvtltd.sharepoint.com/:f:/s/AppStrategy-PMO/Etdu6-9aFCNAjXbjVm5U6NEBMgcppZjpZPvkUCEjJwG7eQ?e=6njRAV" TargetMode="External"/><Relationship Id="rId35" Type="http://schemas.openxmlformats.org/officeDocument/2006/relationships/hyperlink" Target="https://etender.up.nic.in/nicgep/app?component=%24DirectLink&amp;page=FrontEndViewTender&amp;service=direct&amp;session=T&amp;sp=SrA37IMkuFnWGbiySIwVqog%3D%3D" TargetMode="External"/><Relationship Id="rId43" Type="http://schemas.openxmlformats.org/officeDocument/2006/relationships/hyperlink" Target="https://geminisolutionsindpvtltd.sharepoint.com/:f:/r/sites/AppStrategy-PMO/Shared%20Documents/PMO/Tender%20work/Active%20tender/DEAF?csf=1&amp;web=1&amp;e=dI9fFc" TargetMode="External"/><Relationship Id="rId48" Type="http://schemas.microsoft.com/office/2017/10/relationships/threadedComment" Target="../threadedComments/threadedComment1.xml"/><Relationship Id="rId8" Type="http://schemas.openxmlformats.org/officeDocument/2006/relationships/hyperlink" Target="../../../:i:/g/personal/aman_kbansal_geminisolutions_com/EXtzHvpFwEBCm0-wdKMLFu8Bwnp9lrmWnndoIYcjqxb0fQ%3fe=ApTh5s" TargetMode="External"/><Relationship Id="rId3" Type="http://schemas.openxmlformats.org/officeDocument/2006/relationships/hyperlink" Target="../../../:b:/g/personal/aman_kbansal_geminisolutions_com/EZZkShRFnOhPi0GQV05x8AcBEpsq9BWCMHko0oX3KZDp7w%3fe=ODOD1U" TargetMode="External"/><Relationship Id="rId12" Type="http://schemas.openxmlformats.org/officeDocument/2006/relationships/hyperlink" Target="https://www.tendertiger.com/viewtenderdetailnd.aspx?sbno=248321&amp;sbencp=2da274524314dc13d&amp;SrN=55953624&amp;encp=009e8243291a7539b&amp;fav=1&amp;MailTrackId=25839963&amp;MailTrackEncp=48c8ed688c85890ee" TargetMode="External"/><Relationship Id="rId17" Type="http://schemas.openxmlformats.org/officeDocument/2006/relationships/hyperlink" Target="https://www.tendertiger.com/viewtenderdetailnd.aspx?sbno=248321&amp;sbencp=2da274524314dc13d&amp;SrN=55952958&amp;encp=2959155bca0ad4b02&amp;fav=1&amp;MailTrackId=25839963&amp;MailTrackEncp=48c8ed688c85890ee" TargetMode="External"/><Relationship Id="rId25" Type="http://schemas.openxmlformats.org/officeDocument/2006/relationships/hyperlink" Target="https://www.tendertiger.com/viewtenderdetailnd.aspx?sbno=248321&amp;sbencp=2da274524314dc13d&amp;SrN=57107731&amp;encp=91966f19079f0bf0d&amp;fav=1&amp;MailTrackId=26376266&amp;MailTrackEncp=a513fcdfac692e59d" TargetMode="External"/><Relationship Id="rId33" Type="http://schemas.openxmlformats.org/officeDocument/2006/relationships/hyperlink" Target="https://geminisolutionsindpvtltd.sharepoint.com/:b:/s/AppStrategy-PMO/Edhth95tvmpOgOVsFS75ZmIBE_rwYdbY-bCUdFzahqxDUg?e=tZrB2z" TargetMode="External"/><Relationship Id="rId38" Type="http://schemas.openxmlformats.org/officeDocument/2006/relationships/hyperlink" Target="https://eproc.punjab.gov.in/nicgep/app?component=%24DirectLink&amp;page=FrontEndViewTender&amp;service=direct&amp;session=T&amp;sp=StUgGPZuZu%2FjdNTvjMwS75g%3D%3D" TargetMode="External"/><Relationship Id="rId46" Type="http://schemas.openxmlformats.org/officeDocument/2006/relationships/vmlDrawing" Target="../drawings/vmlDrawing1.vml"/><Relationship Id="rId20" Type="http://schemas.openxmlformats.org/officeDocument/2006/relationships/hyperlink" Target="https://www.tendertiger.com/viewtenderdetailnd.aspx?sbno=248321&amp;sbencp=2da274524314dc13d&amp;SrN=56710270&amp;encp=e8e9c759283ddb6e5&amp;fav=1&amp;MailTrackId=26187163&amp;MailTrackEncp=61cde681ebacc0cbb" TargetMode="External"/><Relationship Id="rId41" Type="http://schemas.openxmlformats.org/officeDocument/2006/relationships/hyperlink" Target="https://eproc.rajasthan.gov.in/nicgep/app?component=%24DirectLink&amp;page=FrontEndViewTender&amp;service=direct&amp;session=T&amp;sp=SwQAGLqiZn3gjvea%2B8JGdRw%3D%3D" TargetMode="Externa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11.xml"/><Relationship Id="rId1" Type="http://schemas.openxmlformats.org/officeDocument/2006/relationships/pivotTable" Target="../pivotTables/pivotTable10.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13.xml"/><Relationship Id="rId1" Type="http://schemas.openxmlformats.org/officeDocument/2006/relationships/pivotTable" Target="../pivotTables/pivotTable12.xml"/><Relationship Id="rId4" Type="http://schemas.microsoft.com/office/2007/relationships/slicer" Target="../slicers/slicer4.xml"/></Relationships>
</file>

<file path=xl/worksheets/_rels/sheet11.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9.xml"/><Relationship Id="rId1" Type="http://schemas.openxmlformats.org/officeDocument/2006/relationships/pivotTable" Target="../pivotTables/pivotTable1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3.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10.xml"/><Relationship Id="rId1" Type="http://schemas.openxmlformats.org/officeDocument/2006/relationships/pivotTable" Target="../pivotTables/pivotTable15.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6.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 Id="rId5" Type="http://schemas.openxmlformats.org/officeDocument/2006/relationships/drawing" Target="../drawings/drawing12.xml"/><Relationship Id="rId4" Type="http://schemas.openxmlformats.org/officeDocument/2006/relationships/pivotTable" Target="../pivotTables/pivotTable20.xm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www.cmmiinstitute.com/partners/directory/tuv-rheinland" TargetMode="External"/></Relationships>
</file>

<file path=xl/worksheets/_rels/sheet20.xml.rels><?xml version="1.0" encoding="UTF-8" standalone="yes"?>
<Relationships xmlns="http://schemas.openxmlformats.org/package/2006/relationships"><Relationship Id="rId2" Type="http://schemas.openxmlformats.org/officeDocument/2006/relationships/hyperlink" Target="https://etender.up.nic.in/nicgep/app?component=%24DirectLink&amp;page=FrontEndViewTender&amp;service=direct&amp;session=T&amp;sp=SYj%2BqtmltOvfkKedLpl49Yw%3D%3D" TargetMode="External"/><Relationship Id="rId1" Type="http://schemas.openxmlformats.org/officeDocument/2006/relationships/hyperlink" Target="https://etender.up.nic.in/nicgep/app?component=%24DirectLink&amp;page=FrontEndViewTender&amp;service=direct&amp;session=T&amp;sp=SNisV%2F%2F3cwOPKsQ1XcYDWHA%3D%3D" TargetMode="External"/></Relationships>
</file>

<file path=xl/worksheets/_rels/sheet23.xml.rels><?xml version="1.0" encoding="UTF-8" standalone="yes"?>
<Relationships xmlns="http://schemas.openxmlformats.org/package/2006/relationships"><Relationship Id="rId8" Type="http://schemas.openxmlformats.org/officeDocument/2006/relationships/hyperlink" Target="https://www.tendertiger.com/viewtenderdetailnd.aspx?sbno=248321&amp;sbencp=2da274524314dc13d&amp;SrN=58948804&amp;encp=e9b0149908f872285&amp;fav=1&amp;MailTrackId=27323745&amp;MailTrackEncp=93c9af4a7cf06a9be" TargetMode="External"/><Relationship Id="rId13" Type="http://schemas.openxmlformats.org/officeDocument/2006/relationships/hyperlink" Target="https://www.tendertiger.com/viewtenderdetailnd.aspx?sbno=248321&amp;sbencp=2da274524314dc13d&amp;SrN=59509739&amp;encp=0e1947cd3816988c6&amp;fav=1&amp;MailTrackId=27802426&amp;MailTrackEncp=236056f9c8b176a35" TargetMode="External"/><Relationship Id="rId18" Type="http://schemas.openxmlformats.org/officeDocument/2006/relationships/hyperlink" Target="https://geminisolutionsindpvtltd.sharepoint.com/:f:/r/sites/AppStrategy-PMO/Shared%20Documents/PMO/Tender%20work/Active%20tender/ICMR?csf=1&amp;web=1&amp;e=36qkMz" TargetMode="External"/><Relationship Id="rId3" Type="http://schemas.openxmlformats.org/officeDocument/2006/relationships/hyperlink" Target="https://eprocure.gov.in/eprocure/app?component=%24DirectLink&amp;page=FrontEndViewTender&amp;service=direct&amp;session=T&amp;sp=Skg4quIbxGHm3jB7g5Fc%2FMw%3D%3D" TargetMode="External"/><Relationship Id="rId21" Type="http://schemas.openxmlformats.org/officeDocument/2006/relationships/vmlDrawing" Target="../drawings/vmlDrawing2.vml"/><Relationship Id="rId7" Type="http://schemas.openxmlformats.org/officeDocument/2006/relationships/hyperlink" Target="https://geminisolutionsindpvtltd.sharepoint.com/:f:/s/AppStrategy-PMO/EiFGzq8Xn05EgNaQFDWMDcgBisiXtgU0_f8IGrEaF5vxaA?e=KSGV0W" TargetMode="External"/><Relationship Id="rId12" Type="http://schemas.openxmlformats.org/officeDocument/2006/relationships/hyperlink" Target="https://geminisolutionsindpvtltd.sharepoint.com/:f:/r/sites/AppStrategy-PMO/Shared%20Documents/PMO/Tender%20work/Active%20tender/SCLDR?csf=1&amp;web=1&amp;e=1TycdU" TargetMode="External"/><Relationship Id="rId17" Type="http://schemas.openxmlformats.org/officeDocument/2006/relationships/hyperlink" Target="https://www.tendertiger.com/viewtenderdetailnd.aspx?sbno=248321&amp;sbencp=2da274524314dc13d&amp;SrN=60327701&amp;encp=c48728ed9284a1e35&amp;fav=1&amp;MailTrackId=27997139&amp;MailTrackEncp=d515678d8ab8469a6" TargetMode="External"/><Relationship Id="rId2" Type="http://schemas.openxmlformats.org/officeDocument/2006/relationships/hyperlink" Target="../../Khushi%20Garg/Downloads/Check%20Page%201&amp;2%20for%20Eligibility" TargetMode="External"/><Relationship Id="rId16" Type="http://schemas.openxmlformats.org/officeDocument/2006/relationships/hyperlink" Target="https://www.tendertiger.com/viewtenderdetailnd.aspx?sbno=248321&amp;sbencp=2da274524314dc13d&amp;SrN=60301027&amp;encp=cdb3b231049135526&amp;fav=1&amp;MailTrackId=27980226&amp;MailTrackEncp=67c3b935667dd9da5" TargetMode="External"/><Relationship Id="rId20" Type="http://schemas.openxmlformats.org/officeDocument/2006/relationships/hyperlink" Target="https://geminisolutionsindpvtltd.sharepoint.com/:f:/r/sites/AppStrategy-PMO/Shared%20Documents/PMO/Tender%20work/Active%20tender/MEFCC?csf=1&amp;web=1&amp;e=F8WIIJ" TargetMode="External"/><Relationship Id="rId1" Type="http://schemas.openxmlformats.org/officeDocument/2006/relationships/hyperlink" Target="https://meet.google.com/zkr-khjx-ygc" TargetMode="External"/><Relationship Id="rId6" Type="http://schemas.openxmlformats.org/officeDocument/2006/relationships/hyperlink" Target="https://geminisolutionsindpvtltd.sharepoint.com/:f:/s/AppStrategy-PMO/Etdu6-9aFCNAjXbjVm5U6NEBMgcppZjpZPvkUCEjJwG7eQ?e=6njRAV" TargetMode="External"/><Relationship Id="rId11" Type="http://schemas.openxmlformats.org/officeDocument/2006/relationships/hyperlink" Target="https://www.tendertiger.com/viewtenderdetailnd.aspx?sbno=248321&amp;sbencp=2da274524314dc13d&amp;SrN=59390077&amp;encp=e76e4f0f343a3a238&amp;fav=1&amp;MailTrackId=27538527&amp;MailTrackEncp=c930cbe2ec6ad6ef0" TargetMode="External"/><Relationship Id="rId5" Type="http://schemas.openxmlformats.org/officeDocument/2006/relationships/hyperlink" Target="https://geminisolutionsindpvtltd.sharepoint.com/:b:/s/AppStrategy-PMO/EdmEy-_wZtdKuf8P9Ooc6tkBrf77G4dwbNI6_j5mOgtVag?e=OKdjt5" TargetMode="External"/><Relationship Id="rId15" Type="http://schemas.openxmlformats.org/officeDocument/2006/relationships/hyperlink" Target="https://www.tendertiger.com/viewtenderdetailnd.aspx?sbno=248321&amp;sbencp=2da274524314dc13d&amp;SrN=59987433&amp;encp=4485e51c379bbc521&amp;fav=1&amp;MailTrackId=27913302&amp;MailTrackEncp=7d4a05e9368d8a4c3" TargetMode="External"/><Relationship Id="rId23" Type="http://schemas.microsoft.com/office/2017/10/relationships/threadedComment" Target="../threadedComments/threadedComment2.xml"/><Relationship Id="rId10" Type="http://schemas.openxmlformats.org/officeDocument/2006/relationships/hyperlink" Target="https://geminisolutionsindpvtltd.sharepoint.com/:b:/s/AppStrategy-PMO/Edhth95tvmpOgOVsFS75ZmIBE_rwYdbY-bCUdFzahqxDUg?e=tZrB2z" TargetMode="External"/><Relationship Id="rId19" Type="http://schemas.openxmlformats.org/officeDocument/2006/relationships/hyperlink" Target="https://www.tendertiger.com/viewtenderdetailnd.aspx?sbno=248321&amp;sbencp=2da274524314dc13d&amp;SrN=61568946&amp;encp=d2f5108fe06af7a4c&amp;fav=1&amp;MailTrackId=28598051&amp;MailTrackEncp=0d04a81935d1292fa" TargetMode="External"/><Relationship Id="rId4" Type="http://schemas.openxmlformats.org/officeDocument/2006/relationships/hyperlink" Target="https://mptenders.gov.in/nicgep/app?component=%24DirectLink&amp;page=FrontEndViewTender&amp;service=direct&amp;session=T&amp;sp=SlcIL%2BpFofxQ3BLKKtAmBFA%3D%3D" TargetMode="External"/><Relationship Id="rId9" Type="http://schemas.openxmlformats.org/officeDocument/2006/relationships/hyperlink" Target="https://geminisolutionsindpvtltd.sharepoint.com/:f:/s/AppStrategy-PMO/EnF0k4SJCQdHuRZKPYJOEAsBfMdxiEwQM2XaQDdFc-9owA?e=ijjUC9" TargetMode="External"/><Relationship Id="rId14" Type="http://schemas.openxmlformats.org/officeDocument/2006/relationships/hyperlink" Target="https://eproc.punjab.gov.in/nicgep/app?component=%24DirectLink&amp;page=FrontEndViewTender&amp;service=direct&amp;session=T&amp;sp=StUgGPZuZu%2FjdNTvjMwS75g%3D%3D" TargetMode="External"/><Relationship Id="rId22" Type="http://schemas.openxmlformats.org/officeDocument/2006/relationships/comments" Target="../comments2.xml"/></Relationships>
</file>

<file path=xl/worksheets/_rels/sheet24.xml.rels><?xml version="1.0" encoding="UTF-8" standalone="yes"?>
<Relationships xmlns="http://schemas.openxmlformats.org/package/2006/relationships"><Relationship Id="rId2" Type="http://schemas.openxmlformats.org/officeDocument/2006/relationships/hyperlink" Target="https://geminisolutionsindpvtltd.sharepoint.com/:b:/s/AppStrategy-PMO/Ebovgire0Y9LkxRxuex-wykBYZaiqPwq-s64Y2OOv8Ca-g?e=7JUcnC" TargetMode="External"/><Relationship Id="rId1" Type="http://schemas.openxmlformats.org/officeDocument/2006/relationships/hyperlink" Target="https://www.tendertiger.com/viewtenderdetailnd.aspx?sbno=248321&amp;sbencp=2da274524314dc13d&amp;SrN=61568946&amp;encp=d2f5108fe06af7a4c&amp;fav=1&amp;MailTrackId=28598051&amp;MailTrackEncp=0d04a81935d1292fa" TargetMode="External"/></Relationships>
</file>

<file path=xl/worksheets/_rels/sheet26.xml.rels><?xml version="1.0" encoding="UTF-8" standalone="yes"?>
<Relationships xmlns="http://schemas.openxmlformats.org/package/2006/relationships"><Relationship Id="rId3" Type="http://schemas.openxmlformats.org/officeDocument/2006/relationships/hyperlink" Target="https://www.instantmarkets.com/view/ID292703544003305703359416350074030709566/Drupal_Web_Development_Services" TargetMode="External"/><Relationship Id="rId2" Type="http://schemas.openxmlformats.org/officeDocument/2006/relationships/hyperlink" Target="https://www.instantmarkets.com/view/ID96334686146835439621381524861668202275?token=161720971223536672444734113746727538820&amp;utm_source=opprecommendation&amp;utm_medium=email" TargetMode="External"/><Relationship Id="rId1" Type="http://schemas.openxmlformats.org/officeDocument/2006/relationships/hyperlink" Target="https://www.instantmarkets.com/view/ID114402599660926152212241426493392900339?token=161720971223536672444734113746727538820&amp;utm_source=opprecommendation&amp;utm_medium=email" TargetMode="External"/><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6:Y76"/>
  <sheetViews>
    <sheetView zoomScale="80" zoomScaleNormal="80" workbookViewId="0"/>
  </sheetViews>
  <sheetFormatPr defaultRowHeight="14.4"/>
  <cols>
    <col min="4" max="4" width="9.109375" customWidth="1"/>
    <col min="25" max="25" width="9.109375" customWidth="1"/>
  </cols>
  <sheetData>
    <row r="6" spans="25:25">
      <c r="Y6" s="157"/>
    </row>
    <row r="7" spans="25:25">
      <c r="Y7" s="158"/>
    </row>
    <row r="8" spans="25:25">
      <c r="Y8" s="158"/>
    </row>
    <row r="10" spans="25:25">
      <c r="Y10" s="158"/>
    </row>
    <row r="35" spans="2:2">
      <c r="B35" t="s">
        <v>0</v>
      </c>
    </row>
    <row r="76" spans="20:20">
      <c r="T76" s="43"/>
    </row>
  </sheetData>
  <pageMargins left="0.7" right="0.7" top="0.75" bottom="0.75" header="0.3" footer="0.3"/>
  <pageSetup orientation="portrait" horizontalDpi="90" verticalDpi="9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CU138"/>
  <sheetViews>
    <sheetView zoomScale="50" zoomScaleNormal="50" workbookViewId="0">
      <selection activeCell="M12" sqref="M12"/>
    </sheetView>
  </sheetViews>
  <sheetFormatPr defaultRowHeight="14.4"/>
  <cols>
    <col min="1" max="1" width="6.109375" customWidth="1"/>
    <col min="2" max="2" width="35.33203125" bestFit="1" customWidth="1"/>
    <col min="3" max="3" width="14.5546875" customWidth="1"/>
    <col min="4" max="4" width="5.44140625" customWidth="1"/>
    <col min="5" max="5" width="29.33203125" bestFit="1" customWidth="1"/>
    <col min="6" max="6" width="11.6640625" bestFit="1" customWidth="1"/>
    <col min="7" max="9" width="9.109375" customWidth="1"/>
    <col min="10" max="10" width="112.77734375" style="3" customWidth="1"/>
    <col min="11" max="11" width="32.77734375" bestFit="1" customWidth="1"/>
    <col min="12" max="12" width="23" customWidth="1"/>
    <col min="13" max="13" width="17.5546875" customWidth="1"/>
    <col min="14" max="14" width="17.5546875" bestFit="1" customWidth="1"/>
    <col min="17" max="17" width="9.109375" customWidth="1"/>
    <col min="18" max="18" width="4" customWidth="1"/>
    <col min="24" max="24" width="9.109375" customWidth="1"/>
  </cols>
  <sheetData>
    <row r="1" spans="1:99">
      <c r="A1" s="212"/>
      <c r="B1" s="212"/>
      <c r="C1" s="212"/>
      <c r="D1" s="212"/>
      <c r="E1" s="212"/>
      <c r="F1" s="212"/>
      <c r="G1" s="212"/>
      <c r="H1" s="212"/>
      <c r="I1" s="212"/>
      <c r="J1" s="300"/>
      <c r="K1" s="212"/>
      <c r="L1" s="212"/>
      <c r="M1" s="212"/>
      <c r="N1" s="212"/>
      <c r="O1" s="212"/>
      <c r="P1" s="213"/>
      <c r="Q1" s="213"/>
      <c r="R1" s="213"/>
      <c r="S1" s="213"/>
      <c r="T1" s="213"/>
      <c r="U1" s="213"/>
      <c r="V1" s="213"/>
      <c r="W1" s="213"/>
      <c r="X1" s="213"/>
      <c r="Y1" s="213"/>
      <c r="Z1" s="213"/>
      <c r="AA1" s="213"/>
      <c r="AB1" s="213"/>
      <c r="AC1" s="213"/>
      <c r="AD1" s="213"/>
      <c r="AE1" s="213"/>
      <c r="AF1" s="213"/>
      <c r="AG1" s="213"/>
      <c r="AH1" s="213"/>
      <c r="AI1" s="213"/>
      <c r="AJ1" s="213"/>
      <c r="AK1" s="213"/>
      <c r="AL1" s="213"/>
      <c r="AM1" s="213"/>
      <c r="AN1" s="213"/>
      <c r="AO1" s="213"/>
      <c r="AP1" s="213"/>
      <c r="AQ1" s="213"/>
      <c r="AR1" s="213"/>
      <c r="AS1" s="213"/>
      <c r="AT1" s="213"/>
      <c r="AU1" s="213"/>
      <c r="AV1" s="213"/>
      <c r="AW1" s="213"/>
      <c r="AX1" s="213"/>
      <c r="AY1" s="213"/>
      <c r="AZ1" s="213"/>
      <c r="BA1" s="213"/>
      <c r="BB1" s="213"/>
      <c r="BC1" s="213"/>
      <c r="BD1" s="213"/>
      <c r="BE1" s="213"/>
      <c r="BF1" s="213"/>
      <c r="BG1" s="213"/>
      <c r="BH1" s="213"/>
      <c r="BI1" s="213"/>
      <c r="BJ1" s="213"/>
      <c r="BK1" s="213"/>
      <c r="BL1" s="213"/>
      <c r="BM1" s="213"/>
      <c r="BN1" s="213"/>
      <c r="BO1" s="213"/>
      <c r="BP1" s="213"/>
      <c r="BQ1" s="213"/>
      <c r="BR1" s="213"/>
      <c r="BS1" s="213"/>
      <c r="BT1" s="213"/>
      <c r="BU1" s="213"/>
      <c r="BV1" s="213"/>
      <c r="BW1" s="213"/>
      <c r="BX1" s="213"/>
      <c r="BY1" s="213"/>
      <c r="BZ1" s="213"/>
      <c r="CA1" s="213"/>
      <c r="CB1" s="213"/>
      <c r="CC1" s="213"/>
      <c r="CD1" s="213"/>
      <c r="CE1" s="213"/>
      <c r="CF1" s="213"/>
      <c r="CG1" s="213"/>
      <c r="CH1" s="213"/>
      <c r="CI1" s="213"/>
      <c r="CJ1" s="213"/>
      <c r="CK1" s="213"/>
      <c r="CL1" s="213"/>
      <c r="CM1" s="213"/>
      <c r="CN1" s="213"/>
      <c r="CO1" s="213"/>
      <c r="CP1" s="213"/>
      <c r="CQ1" s="213"/>
      <c r="CR1" s="213"/>
      <c r="CS1" s="213"/>
      <c r="CT1" s="213"/>
      <c r="CU1" s="213"/>
    </row>
    <row r="2" spans="1:99">
      <c r="A2" s="212"/>
      <c r="B2" s="212"/>
      <c r="C2" s="212"/>
      <c r="D2" s="212"/>
      <c r="E2" s="212"/>
      <c r="F2" s="212"/>
      <c r="G2" s="212"/>
      <c r="H2" s="212"/>
      <c r="I2" s="212"/>
      <c r="J2" s="300"/>
      <c r="K2" s="212"/>
      <c r="L2" s="212"/>
      <c r="M2" s="212"/>
      <c r="N2" s="212"/>
      <c r="O2" s="212"/>
      <c r="P2" s="213"/>
      <c r="Q2" s="213"/>
      <c r="R2" s="213"/>
      <c r="S2" s="213"/>
      <c r="T2" s="213"/>
      <c r="U2" s="213"/>
      <c r="V2" s="213"/>
      <c r="W2" s="213"/>
      <c r="X2" s="213"/>
      <c r="Y2" s="213"/>
      <c r="Z2" s="213"/>
      <c r="AA2" s="213"/>
      <c r="AB2" s="213"/>
      <c r="AC2" s="213"/>
      <c r="AD2" s="213"/>
      <c r="AE2" s="213"/>
      <c r="AF2" s="213"/>
      <c r="AG2" s="213"/>
      <c r="AH2" s="213"/>
      <c r="AI2" s="213"/>
      <c r="AJ2" s="213"/>
      <c r="AK2" s="213"/>
      <c r="AL2" s="213"/>
      <c r="AM2" s="213"/>
      <c r="AN2" s="213"/>
      <c r="AO2" s="213"/>
      <c r="AP2" s="213"/>
      <c r="AQ2" s="213"/>
      <c r="AR2" s="213"/>
      <c r="AS2" s="213"/>
      <c r="AT2" s="213"/>
      <c r="AU2" s="213"/>
      <c r="AV2" s="213"/>
      <c r="AW2" s="213"/>
      <c r="AX2" s="213"/>
      <c r="AY2" s="213"/>
      <c r="AZ2" s="213"/>
      <c r="BA2" s="213"/>
      <c r="BB2" s="213"/>
      <c r="BC2" s="213"/>
      <c r="BD2" s="213"/>
      <c r="BE2" s="213"/>
      <c r="BF2" s="213"/>
      <c r="BG2" s="213"/>
      <c r="BH2" s="213"/>
      <c r="BI2" s="213"/>
      <c r="BJ2" s="213"/>
      <c r="BK2" s="213"/>
      <c r="BL2" s="213"/>
      <c r="BM2" s="213"/>
      <c r="BN2" s="213"/>
      <c r="BO2" s="213"/>
      <c r="BP2" s="213"/>
      <c r="BQ2" s="213"/>
      <c r="BR2" s="213"/>
      <c r="BS2" s="213"/>
      <c r="BT2" s="213"/>
      <c r="BU2" s="213"/>
      <c r="BV2" s="213"/>
      <c r="BW2" s="213"/>
      <c r="BX2" s="213"/>
      <c r="BY2" s="213"/>
      <c r="BZ2" s="213"/>
      <c r="CA2" s="213"/>
      <c r="CB2" s="213"/>
      <c r="CC2" s="213"/>
      <c r="CD2" s="213"/>
      <c r="CE2" s="213"/>
      <c r="CF2" s="213"/>
      <c r="CG2" s="213"/>
      <c r="CH2" s="213"/>
      <c r="CI2" s="213"/>
      <c r="CJ2" s="213"/>
      <c r="CK2" s="213"/>
      <c r="CL2" s="213"/>
      <c r="CM2" s="213"/>
      <c r="CN2" s="213"/>
      <c r="CO2" s="213"/>
      <c r="CP2" s="213"/>
      <c r="CQ2" s="213"/>
      <c r="CR2" s="213"/>
      <c r="CS2" s="213"/>
      <c r="CT2" s="213"/>
      <c r="CU2" s="213"/>
    </row>
    <row r="3" spans="1:99">
      <c r="A3" s="212"/>
      <c r="B3" s="212"/>
      <c r="C3" s="212"/>
      <c r="D3" s="212"/>
      <c r="E3" s="212"/>
      <c r="F3" s="212"/>
      <c r="G3" s="212"/>
      <c r="H3" s="212"/>
      <c r="I3" s="212"/>
      <c r="J3" s="308"/>
      <c r="K3" s="212"/>
      <c r="L3" s="212"/>
      <c r="M3" s="212"/>
      <c r="N3" s="212"/>
      <c r="O3" s="212"/>
      <c r="P3" s="213"/>
      <c r="Q3" s="213"/>
      <c r="R3" s="213"/>
      <c r="S3" s="213"/>
      <c r="T3" s="213"/>
      <c r="U3" s="213"/>
      <c r="V3" s="213"/>
      <c r="W3" s="213"/>
      <c r="X3" s="213"/>
      <c r="Y3" s="213"/>
      <c r="Z3" s="213"/>
      <c r="AA3" s="213"/>
      <c r="AB3" s="213"/>
      <c r="AC3" s="213"/>
      <c r="AD3" s="213"/>
      <c r="AE3" s="213"/>
      <c r="AF3" s="213"/>
      <c r="AG3" s="213"/>
      <c r="AH3" s="213"/>
      <c r="AI3" s="213"/>
      <c r="AJ3" s="213"/>
      <c r="AK3" s="213"/>
      <c r="AL3" s="213"/>
      <c r="AM3" s="213"/>
      <c r="AN3" s="213"/>
      <c r="AO3" s="213"/>
      <c r="AP3" s="213"/>
      <c r="AQ3" s="213"/>
      <c r="AR3" s="213"/>
      <c r="AS3" s="213"/>
      <c r="AT3" s="213"/>
      <c r="AU3" s="213"/>
      <c r="AV3" s="213"/>
      <c r="AW3" s="213"/>
      <c r="AX3" s="213"/>
      <c r="AY3" s="213"/>
      <c r="AZ3" s="213"/>
      <c r="BA3" s="213"/>
      <c r="BB3" s="213"/>
      <c r="BC3" s="213"/>
      <c r="BD3" s="213"/>
      <c r="BE3" s="213"/>
      <c r="BF3" s="213"/>
      <c r="BG3" s="213"/>
      <c r="BH3" s="213"/>
      <c r="BI3" s="213"/>
      <c r="BJ3" s="213"/>
      <c r="BK3" s="213"/>
      <c r="BL3" s="213"/>
      <c r="BM3" s="213"/>
      <c r="BN3" s="213"/>
      <c r="BO3" s="213"/>
      <c r="BP3" s="213"/>
      <c r="BQ3" s="213"/>
      <c r="BR3" s="213"/>
      <c r="BS3" s="213"/>
      <c r="BT3" s="213"/>
      <c r="BU3" s="213"/>
      <c r="BV3" s="213"/>
      <c r="BW3" s="213"/>
      <c r="BX3" s="213"/>
      <c r="BY3" s="213"/>
      <c r="BZ3" s="213"/>
      <c r="CA3" s="213"/>
      <c r="CB3" s="213"/>
      <c r="CC3" s="213"/>
      <c r="CD3" s="213"/>
      <c r="CE3" s="213"/>
      <c r="CF3" s="213"/>
      <c r="CG3" s="213"/>
      <c r="CH3" s="213"/>
      <c r="CI3" s="213"/>
      <c r="CJ3" s="213"/>
      <c r="CK3" s="213"/>
      <c r="CL3" s="213"/>
      <c r="CM3" s="213"/>
      <c r="CN3" s="213"/>
      <c r="CO3" s="213"/>
      <c r="CP3" s="213"/>
      <c r="CQ3" s="213"/>
      <c r="CR3" s="213"/>
      <c r="CS3" s="213"/>
      <c r="CT3" s="213"/>
      <c r="CU3" s="213"/>
    </row>
    <row r="4" spans="1:99">
      <c r="A4" s="212"/>
      <c r="B4" s="212"/>
      <c r="C4" s="212"/>
      <c r="D4" s="212"/>
      <c r="E4" s="212"/>
      <c r="F4" s="212"/>
      <c r="G4" s="212"/>
      <c r="H4" s="212"/>
      <c r="I4" s="212"/>
      <c r="J4" s="300"/>
      <c r="K4" s="212"/>
      <c r="L4" s="212"/>
      <c r="M4" s="212"/>
      <c r="N4" s="212"/>
      <c r="O4" s="212"/>
      <c r="P4" s="213"/>
      <c r="Q4" s="213"/>
      <c r="R4" s="213"/>
      <c r="S4" s="213"/>
      <c r="T4" s="213"/>
      <c r="U4" s="213"/>
      <c r="V4" s="213"/>
      <c r="W4" s="213"/>
      <c r="X4" s="213"/>
      <c r="Y4" s="213"/>
      <c r="Z4" s="213"/>
      <c r="AA4" s="213"/>
      <c r="AB4" s="213"/>
      <c r="AC4" s="213"/>
      <c r="AD4" s="213"/>
      <c r="AE4" s="213"/>
      <c r="AF4" s="213"/>
      <c r="AG4" s="213"/>
      <c r="AH4" s="213"/>
      <c r="AI4" s="213"/>
      <c r="AJ4" s="213"/>
      <c r="AK4" s="213"/>
      <c r="AL4" s="213"/>
      <c r="AM4" s="213"/>
      <c r="AN4" s="213"/>
      <c r="AO4" s="213"/>
      <c r="AP4" s="213"/>
      <c r="AQ4" s="213"/>
      <c r="AR4" s="213"/>
      <c r="AS4" s="213"/>
      <c r="AT4" s="213"/>
      <c r="AU4" s="213"/>
      <c r="AV4" s="213"/>
      <c r="AW4" s="213"/>
      <c r="AX4" s="213"/>
      <c r="AY4" s="213"/>
      <c r="AZ4" s="213"/>
      <c r="BA4" s="213"/>
      <c r="BB4" s="213"/>
      <c r="BC4" s="213"/>
      <c r="BD4" s="213"/>
      <c r="BE4" s="213"/>
      <c r="BF4" s="213"/>
      <c r="BG4" s="213"/>
      <c r="BH4" s="213"/>
      <c r="BI4" s="213"/>
      <c r="BJ4" s="213"/>
      <c r="BK4" s="213"/>
      <c r="BL4" s="213"/>
      <c r="BM4" s="213"/>
      <c r="BN4" s="213"/>
      <c r="BO4" s="213"/>
      <c r="BP4" s="213"/>
      <c r="BQ4" s="213"/>
      <c r="BR4" s="213"/>
      <c r="BS4" s="213"/>
      <c r="BT4" s="213"/>
      <c r="BU4" s="213"/>
      <c r="BV4" s="213"/>
      <c r="BW4" s="213"/>
      <c r="BX4" s="213"/>
      <c r="BY4" s="213"/>
      <c r="BZ4" s="213"/>
      <c r="CA4" s="213"/>
      <c r="CB4" s="213"/>
      <c r="CC4" s="213"/>
      <c r="CD4" s="213"/>
      <c r="CE4" s="213"/>
      <c r="CF4" s="213"/>
      <c r="CG4" s="213"/>
      <c r="CH4" s="213"/>
      <c r="CI4" s="213"/>
      <c r="CJ4" s="213"/>
      <c r="CK4" s="213"/>
      <c r="CL4" s="213"/>
      <c r="CM4" s="213"/>
      <c r="CN4" s="213"/>
      <c r="CO4" s="213"/>
      <c r="CP4" s="213"/>
      <c r="CQ4" s="213"/>
      <c r="CR4" s="213"/>
      <c r="CS4" s="213"/>
      <c r="CT4" s="213"/>
      <c r="CU4" s="213"/>
    </row>
    <row r="5" spans="1:99">
      <c r="A5" s="212"/>
      <c r="B5" s="212"/>
      <c r="C5" s="212"/>
      <c r="D5" s="212"/>
      <c r="E5" s="212"/>
      <c r="F5" s="212"/>
      <c r="G5" s="212"/>
      <c r="H5" s="212"/>
      <c r="I5" s="212"/>
      <c r="J5" s="300"/>
      <c r="K5" s="212"/>
      <c r="L5" s="212"/>
      <c r="M5" s="212"/>
      <c r="N5" s="212"/>
      <c r="O5" s="212"/>
      <c r="P5" s="213"/>
      <c r="Q5" s="213"/>
      <c r="R5" s="213"/>
      <c r="S5" s="213"/>
      <c r="T5" s="213"/>
      <c r="U5" s="213"/>
      <c r="V5" s="213"/>
      <c r="W5" s="213"/>
      <c r="X5" s="213"/>
      <c r="Y5" s="213"/>
      <c r="Z5" s="213"/>
      <c r="AA5" s="213"/>
      <c r="AB5" s="213"/>
      <c r="AC5" s="213"/>
      <c r="AD5" s="213"/>
      <c r="AE5" s="213"/>
      <c r="AF5" s="213"/>
      <c r="AG5" s="213"/>
      <c r="AH5" s="213"/>
      <c r="AI5" s="213"/>
      <c r="AJ5" s="213"/>
      <c r="AK5" s="213"/>
      <c r="AL5" s="213"/>
      <c r="AM5" s="213"/>
      <c r="AN5" s="213"/>
      <c r="AO5" s="213"/>
      <c r="AP5" s="213"/>
      <c r="AQ5" s="213"/>
      <c r="AR5" s="213"/>
      <c r="AS5" s="213"/>
      <c r="AT5" s="213"/>
      <c r="AU5" s="213"/>
      <c r="AV5" s="213"/>
      <c r="AW5" s="213"/>
      <c r="AX5" s="213"/>
      <c r="AY5" s="213"/>
      <c r="AZ5" s="213"/>
      <c r="BA5" s="213"/>
      <c r="BB5" s="213"/>
      <c r="BC5" s="213"/>
      <c r="BD5" s="213"/>
      <c r="BE5" s="213"/>
      <c r="BF5" s="213"/>
      <c r="BG5" s="213"/>
      <c r="BH5" s="213"/>
      <c r="BI5" s="213"/>
      <c r="BJ5" s="213"/>
      <c r="BK5" s="213"/>
      <c r="BL5" s="213"/>
      <c r="BM5" s="213"/>
      <c r="BN5" s="213"/>
      <c r="BO5" s="213"/>
      <c r="BP5" s="213"/>
      <c r="BQ5" s="213"/>
      <c r="BR5" s="213"/>
      <c r="BS5" s="213"/>
      <c r="BT5" s="213"/>
      <c r="BU5" s="213"/>
      <c r="BV5" s="213"/>
      <c r="BW5" s="213"/>
      <c r="BX5" s="213"/>
      <c r="BY5" s="213"/>
      <c r="BZ5" s="213"/>
      <c r="CA5" s="213"/>
      <c r="CB5" s="213"/>
      <c r="CC5" s="213"/>
      <c r="CD5" s="213"/>
      <c r="CE5" s="213"/>
      <c r="CF5" s="213"/>
      <c r="CG5" s="213"/>
      <c r="CH5" s="213"/>
      <c r="CI5" s="213"/>
      <c r="CJ5" s="213"/>
      <c r="CK5" s="213"/>
      <c r="CL5" s="213"/>
      <c r="CM5" s="213"/>
      <c r="CN5" s="213"/>
      <c r="CO5" s="213"/>
      <c r="CP5" s="213"/>
      <c r="CQ5" s="213"/>
      <c r="CR5" s="213"/>
      <c r="CS5" s="213"/>
      <c r="CT5" s="213"/>
      <c r="CU5" s="213"/>
    </row>
    <row r="6" spans="1:99">
      <c r="A6" s="212"/>
      <c r="B6" s="212"/>
      <c r="C6" s="212"/>
      <c r="D6" s="212"/>
      <c r="E6" s="212"/>
      <c r="F6" s="212"/>
      <c r="G6" s="212"/>
      <c r="H6" s="212"/>
      <c r="I6" s="212"/>
      <c r="J6" s="209"/>
      <c r="K6" s="210"/>
      <c r="L6" s="210"/>
      <c r="M6" s="210"/>
      <c r="N6" s="211"/>
      <c r="O6" s="212"/>
      <c r="P6" s="213"/>
      <c r="Q6" s="213"/>
      <c r="R6" s="213"/>
      <c r="S6" s="213"/>
      <c r="T6" s="213"/>
      <c r="U6" s="213"/>
      <c r="V6" s="213"/>
      <c r="W6" s="213"/>
      <c r="X6" s="214"/>
      <c r="Y6" s="213"/>
      <c r="Z6" s="213"/>
      <c r="AA6" s="213"/>
      <c r="AB6" s="213"/>
      <c r="AC6" s="213"/>
      <c r="AD6" s="213"/>
      <c r="AE6" s="213"/>
      <c r="AF6" s="213"/>
      <c r="AG6" s="213"/>
      <c r="AH6" s="213"/>
      <c r="AI6" s="213"/>
      <c r="AJ6" s="213"/>
      <c r="AK6" s="213"/>
      <c r="AL6" s="213"/>
      <c r="AM6" s="213"/>
      <c r="AN6" s="213"/>
      <c r="AO6" s="213"/>
      <c r="AP6" s="213"/>
      <c r="AQ6" s="213"/>
      <c r="AR6" s="213"/>
      <c r="AS6" s="213"/>
      <c r="AT6" s="213"/>
      <c r="AU6" s="213"/>
      <c r="AV6" s="213"/>
      <c r="AW6" s="213"/>
      <c r="AX6" s="213"/>
      <c r="AY6" s="213"/>
      <c r="AZ6" s="213"/>
      <c r="BA6" s="213"/>
      <c r="BB6" s="213"/>
      <c r="BC6" s="213"/>
      <c r="BD6" s="213"/>
      <c r="BE6" s="213"/>
      <c r="BF6" s="213"/>
      <c r="BG6" s="213"/>
      <c r="BH6" s="213"/>
      <c r="BI6" s="213"/>
      <c r="BJ6" s="213"/>
      <c r="BK6" s="213"/>
      <c r="BL6" s="213"/>
      <c r="BM6" s="213"/>
      <c r="BN6" s="213"/>
      <c r="BO6" s="213"/>
      <c r="BP6" s="213"/>
      <c r="BQ6" s="213"/>
      <c r="BR6" s="213"/>
      <c r="BS6" s="213"/>
      <c r="BT6" s="213"/>
      <c r="BU6" s="213"/>
      <c r="BV6" s="213"/>
      <c r="BW6" s="213"/>
      <c r="BX6" s="213"/>
      <c r="BY6" s="213"/>
      <c r="BZ6" s="213"/>
      <c r="CA6" s="213"/>
      <c r="CB6" s="213"/>
      <c r="CC6" s="213"/>
      <c r="CD6" s="213"/>
      <c r="CE6" s="213"/>
      <c r="CF6" s="213"/>
      <c r="CG6" s="213"/>
      <c r="CH6" s="213"/>
      <c r="CI6" s="213"/>
      <c r="CJ6" s="213"/>
      <c r="CK6" s="213"/>
      <c r="CL6" s="213"/>
      <c r="CM6" s="213"/>
      <c r="CN6" s="213"/>
      <c r="CO6" s="213"/>
      <c r="CP6" s="213"/>
      <c r="CQ6" s="213"/>
      <c r="CR6" s="213"/>
      <c r="CS6" s="213"/>
      <c r="CT6" s="213"/>
      <c r="CU6" s="213"/>
    </row>
    <row r="7" spans="1:99" ht="15" thickBot="1">
      <c r="A7" s="212"/>
      <c r="B7" s="212"/>
      <c r="C7" s="212"/>
      <c r="D7" s="212"/>
      <c r="E7" s="212"/>
      <c r="F7" s="212"/>
      <c r="G7" s="212"/>
      <c r="H7" s="212"/>
      <c r="I7" s="212"/>
      <c r="J7" s="301"/>
      <c r="K7" s="302"/>
      <c r="L7" s="302"/>
      <c r="M7" s="302"/>
      <c r="N7" s="303"/>
      <c r="O7" s="212"/>
      <c r="P7" s="213"/>
      <c r="Q7" s="213"/>
      <c r="R7" s="213"/>
      <c r="S7" s="213"/>
      <c r="T7" s="213"/>
      <c r="U7" s="213"/>
      <c r="V7" s="213"/>
      <c r="W7" s="213"/>
      <c r="X7" s="215"/>
      <c r="Y7" s="213"/>
      <c r="Z7" s="213"/>
      <c r="AA7" s="213"/>
      <c r="AB7" s="213"/>
      <c r="AC7" s="213"/>
      <c r="AD7" s="213"/>
      <c r="AE7" s="213"/>
      <c r="AF7" s="213"/>
      <c r="AG7" s="213"/>
      <c r="AH7" s="213"/>
      <c r="AI7" s="213"/>
      <c r="AJ7" s="213"/>
      <c r="AK7" s="213"/>
      <c r="AL7" s="213"/>
      <c r="AM7" s="213"/>
      <c r="AN7" s="213"/>
      <c r="AO7" s="213"/>
      <c r="AP7" s="213"/>
      <c r="AQ7" s="213"/>
      <c r="AR7" s="213"/>
      <c r="AS7" s="213"/>
      <c r="AT7" s="213"/>
      <c r="AU7" s="213"/>
      <c r="AV7" s="213"/>
      <c r="AW7" s="213"/>
      <c r="AX7" s="213"/>
      <c r="AY7" s="213"/>
      <c r="AZ7" s="213"/>
      <c r="BA7" s="213"/>
      <c r="BB7" s="213"/>
      <c r="BC7" s="213"/>
      <c r="BD7" s="213"/>
      <c r="BE7" s="213"/>
      <c r="BF7" s="213"/>
      <c r="BG7" s="213"/>
      <c r="BH7" s="213"/>
      <c r="BI7" s="213"/>
      <c r="BJ7" s="213"/>
      <c r="BK7" s="213"/>
      <c r="BL7" s="213"/>
      <c r="BM7" s="213"/>
      <c r="BN7" s="213"/>
      <c r="BO7" s="213"/>
      <c r="BP7" s="213"/>
      <c r="BQ7" s="213"/>
      <c r="BR7" s="213"/>
      <c r="BS7" s="213"/>
      <c r="BT7" s="213"/>
      <c r="BU7" s="213"/>
      <c r="BV7" s="213"/>
      <c r="BW7" s="213"/>
      <c r="BX7" s="213"/>
      <c r="BY7" s="213"/>
      <c r="BZ7" s="213"/>
      <c r="CA7" s="213"/>
      <c r="CB7" s="213"/>
      <c r="CC7" s="213"/>
      <c r="CD7" s="213"/>
      <c r="CE7" s="213"/>
      <c r="CF7" s="213"/>
      <c r="CG7" s="213"/>
      <c r="CH7" s="213"/>
      <c r="CI7" s="213"/>
      <c r="CJ7" s="213"/>
      <c r="CK7" s="213"/>
      <c r="CL7" s="213"/>
      <c r="CM7" s="213"/>
      <c r="CN7" s="213"/>
      <c r="CO7" s="213"/>
      <c r="CP7" s="213"/>
      <c r="CQ7" s="213"/>
      <c r="CR7" s="213"/>
      <c r="CS7" s="213"/>
      <c r="CT7" s="213"/>
      <c r="CU7" s="213"/>
    </row>
    <row r="8" spans="1:99" ht="15" thickBot="1">
      <c r="A8" s="212"/>
      <c r="B8" s="212"/>
      <c r="C8" s="212"/>
      <c r="D8" s="212"/>
      <c r="E8" s="212"/>
      <c r="F8" s="212"/>
      <c r="G8" s="212"/>
      <c r="H8" s="212"/>
      <c r="I8" s="212"/>
      <c r="J8" s="309" t="s">
        <v>1</v>
      </c>
      <c r="K8" s="304" t="s">
        <v>2</v>
      </c>
      <c r="L8" s="304"/>
      <c r="O8" s="212"/>
      <c r="P8" s="213"/>
      <c r="Q8" s="213"/>
      <c r="R8" s="213"/>
      <c r="S8" s="213"/>
      <c r="T8" s="213"/>
      <c r="U8" s="213"/>
      <c r="V8" s="213"/>
      <c r="W8" s="213"/>
      <c r="X8" s="215"/>
      <c r="Y8" s="213"/>
      <c r="Z8" s="213"/>
      <c r="AA8" s="213"/>
      <c r="AB8" s="213"/>
      <c r="AC8" s="213"/>
      <c r="AD8" s="213"/>
      <c r="AE8" s="213"/>
      <c r="AF8" s="213"/>
      <c r="AG8" s="213"/>
      <c r="AH8" s="213"/>
      <c r="AI8" s="213"/>
      <c r="AJ8" s="213"/>
      <c r="AK8" s="213"/>
      <c r="AL8" s="213"/>
      <c r="AM8" s="213"/>
      <c r="AN8" s="213"/>
      <c r="AO8" s="213"/>
      <c r="AP8" s="213"/>
      <c r="AQ8" s="213"/>
      <c r="AR8" s="213"/>
      <c r="AS8" s="213"/>
      <c r="AT8" s="213"/>
      <c r="AU8" s="213"/>
      <c r="AV8" s="213"/>
      <c r="AW8" s="213"/>
      <c r="AX8" s="213"/>
      <c r="AY8" s="213"/>
      <c r="AZ8" s="213"/>
      <c r="BA8" s="213"/>
      <c r="BB8" s="213"/>
      <c r="BC8" s="213"/>
      <c r="BD8" s="213"/>
      <c r="BE8" s="213"/>
      <c r="BF8" s="213"/>
      <c r="BG8" s="213"/>
      <c r="BH8" s="213"/>
      <c r="BI8" s="213"/>
      <c r="BJ8" s="213"/>
      <c r="BK8" s="213"/>
      <c r="BL8" s="213"/>
      <c r="BM8" s="213"/>
      <c r="BN8" s="213"/>
      <c r="BO8" s="213"/>
      <c r="BP8" s="213"/>
      <c r="BQ8" s="213"/>
      <c r="BR8" s="213"/>
      <c r="BS8" s="213"/>
      <c r="BT8" s="213"/>
      <c r="BU8" s="213"/>
      <c r="BV8" s="213"/>
      <c r="BW8" s="213"/>
      <c r="BX8" s="213"/>
      <c r="BY8" s="213"/>
      <c r="BZ8" s="213"/>
      <c r="CA8" s="213"/>
      <c r="CB8" s="213"/>
      <c r="CC8" s="213"/>
      <c r="CD8" s="213"/>
      <c r="CE8" s="213"/>
      <c r="CF8" s="213"/>
      <c r="CG8" s="213"/>
      <c r="CH8" s="213"/>
      <c r="CI8" s="213"/>
      <c r="CJ8" s="213"/>
      <c r="CK8" s="213"/>
      <c r="CL8" s="213"/>
      <c r="CM8" s="213"/>
      <c r="CN8" s="213"/>
      <c r="CO8" s="213"/>
      <c r="CP8" s="213"/>
      <c r="CQ8" s="213"/>
      <c r="CR8" s="213"/>
      <c r="CS8" s="213"/>
      <c r="CT8" s="213"/>
      <c r="CU8" s="213"/>
    </row>
    <row r="9" spans="1:99" ht="15" thickBot="1">
      <c r="A9" s="212"/>
      <c r="B9" s="212"/>
      <c r="C9" s="212"/>
      <c r="D9" s="212"/>
      <c r="E9" s="212"/>
      <c r="F9" s="212"/>
      <c r="G9" s="212"/>
      <c r="H9" s="212"/>
      <c r="I9" s="212"/>
      <c r="J9" s="208" t="s">
        <v>3</v>
      </c>
      <c r="K9" s="304" t="s">
        <v>5</v>
      </c>
      <c r="L9" s="304" t="s">
        <v>6</v>
      </c>
      <c r="O9" s="212"/>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AQ9" s="213"/>
      <c r="AR9" s="213"/>
      <c r="AS9" s="213"/>
      <c r="AT9" s="213"/>
      <c r="AU9" s="213"/>
      <c r="AV9" s="213"/>
      <c r="AW9" s="213"/>
      <c r="AX9" s="213"/>
      <c r="AY9" s="213"/>
      <c r="AZ9" s="213"/>
      <c r="BA9" s="213"/>
      <c r="BB9" s="213"/>
      <c r="BC9" s="213"/>
      <c r="BD9" s="213"/>
      <c r="BE9" s="213"/>
      <c r="BF9" s="213"/>
      <c r="BG9" s="213"/>
      <c r="BH9" s="213"/>
      <c r="BI9" s="213"/>
      <c r="BJ9" s="213"/>
      <c r="BK9" s="213"/>
      <c r="BL9" s="213"/>
      <c r="BM9" s="213"/>
      <c r="BN9" s="213"/>
      <c r="BO9" s="213"/>
      <c r="BP9" s="213"/>
      <c r="BQ9" s="213"/>
      <c r="BR9" s="213"/>
      <c r="BS9" s="213"/>
      <c r="BT9" s="213"/>
      <c r="BU9" s="213"/>
      <c r="BV9" s="213"/>
      <c r="BW9" s="213"/>
      <c r="BX9" s="213"/>
      <c r="BY9" s="213"/>
      <c r="BZ9" s="213"/>
      <c r="CA9" s="213"/>
      <c r="CB9" s="213"/>
      <c r="CC9" s="213"/>
      <c r="CD9" s="213"/>
      <c r="CE9" s="213"/>
      <c r="CF9" s="213"/>
      <c r="CG9" s="213"/>
      <c r="CH9" s="213"/>
      <c r="CI9" s="213"/>
      <c r="CJ9" s="213"/>
      <c r="CK9" s="213"/>
      <c r="CL9" s="213"/>
      <c r="CM9" s="213"/>
      <c r="CN9" s="213"/>
      <c r="CO9" s="213"/>
      <c r="CP9" s="213"/>
      <c r="CQ9" s="213"/>
      <c r="CR9" s="213"/>
      <c r="CS9" s="213"/>
      <c r="CT9" s="213"/>
      <c r="CU9" s="213"/>
    </row>
    <row r="10" spans="1:99" ht="15" thickBot="1">
      <c r="A10" s="212"/>
      <c r="B10" s="212"/>
      <c r="C10" s="212"/>
      <c r="D10" s="212"/>
      <c r="E10" s="212"/>
      <c r="F10" s="212"/>
      <c r="G10" s="212"/>
      <c r="H10" s="212"/>
      <c r="I10" s="212"/>
      <c r="J10" s="208" t="s">
        <v>7</v>
      </c>
      <c r="K10" s="334">
        <v>1</v>
      </c>
      <c r="L10" s="334"/>
      <c r="O10" s="212"/>
      <c r="P10" s="213"/>
      <c r="Q10" s="213"/>
      <c r="R10" s="213"/>
      <c r="S10" s="213"/>
      <c r="T10" s="213"/>
      <c r="U10" s="213"/>
      <c r="V10" s="213"/>
      <c r="W10" s="213"/>
      <c r="X10" s="215"/>
      <c r="Y10" s="213"/>
      <c r="Z10" s="213"/>
      <c r="AA10" s="213"/>
      <c r="AB10" s="213"/>
      <c r="AC10" s="213"/>
      <c r="AD10" s="213"/>
      <c r="AE10" s="213"/>
      <c r="AF10" s="213"/>
      <c r="AG10" s="213"/>
      <c r="AH10" s="213"/>
      <c r="AI10" s="213"/>
      <c r="AJ10" s="213"/>
      <c r="AK10" s="213"/>
      <c r="AL10" s="213"/>
      <c r="AM10" s="213"/>
      <c r="AN10" s="213"/>
      <c r="AO10" s="213"/>
      <c r="AP10" s="213"/>
      <c r="AQ10" s="213"/>
      <c r="AR10" s="213"/>
      <c r="AS10" s="213"/>
      <c r="AT10" s="213"/>
      <c r="AU10" s="213"/>
      <c r="AV10" s="213"/>
      <c r="AW10" s="213"/>
      <c r="AX10" s="213"/>
      <c r="AY10" s="213"/>
      <c r="AZ10" s="213"/>
      <c r="BA10" s="213"/>
      <c r="BB10" s="213"/>
      <c r="BC10" s="213"/>
      <c r="BD10" s="213"/>
      <c r="BE10" s="213"/>
      <c r="BF10" s="213"/>
      <c r="BG10" s="213"/>
      <c r="BH10" s="213"/>
      <c r="BI10" s="213"/>
      <c r="BJ10" s="213"/>
      <c r="BK10" s="213"/>
      <c r="BL10" s="213"/>
      <c r="BM10" s="213"/>
      <c r="BN10" s="213"/>
      <c r="BO10" s="213"/>
      <c r="BP10" s="213"/>
      <c r="BQ10" s="213"/>
      <c r="BR10" s="213"/>
      <c r="BS10" s="213"/>
      <c r="BT10" s="213"/>
      <c r="BU10" s="213"/>
      <c r="BV10" s="213"/>
      <c r="BW10" s="213"/>
      <c r="BX10" s="213"/>
      <c r="BY10" s="213"/>
      <c r="BZ10" s="213"/>
      <c r="CA10" s="213"/>
      <c r="CB10" s="213"/>
      <c r="CC10" s="213"/>
      <c r="CD10" s="213"/>
      <c r="CE10" s="213"/>
      <c r="CF10" s="213"/>
      <c r="CG10" s="213"/>
      <c r="CH10" s="213"/>
      <c r="CI10" s="213"/>
      <c r="CJ10" s="213"/>
      <c r="CK10" s="213"/>
      <c r="CL10" s="213"/>
      <c r="CM10" s="213"/>
      <c r="CN10" s="213"/>
      <c r="CO10" s="213"/>
      <c r="CP10" s="213"/>
      <c r="CQ10" s="213"/>
      <c r="CR10" s="213"/>
      <c r="CS10" s="213"/>
      <c r="CT10" s="213"/>
      <c r="CU10" s="213"/>
    </row>
    <row r="11" spans="1:99" ht="15" thickBot="1">
      <c r="A11" s="212"/>
      <c r="B11" s="212"/>
      <c r="C11" s="212"/>
      <c r="D11" s="212"/>
      <c r="E11" s="212"/>
      <c r="F11" s="212"/>
      <c r="G11" s="212"/>
      <c r="H11" s="212"/>
      <c r="I11" s="212"/>
      <c r="J11" s="305" t="s">
        <v>8</v>
      </c>
      <c r="K11" s="334">
        <v>1</v>
      </c>
      <c r="L11" s="334"/>
      <c r="O11" s="212"/>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c r="BO11" s="213"/>
      <c r="BP11" s="213"/>
      <c r="BQ11" s="213"/>
      <c r="BR11" s="213"/>
      <c r="BS11" s="213"/>
      <c r="BT11" s="213"/>
      <c r="BU11" s="213"/>
      <c r="BV11" s="213"/>
      <c r="BW11" s="213"/>
      <c r="BX11" s="213"/>
      <c r="BY11" s="213"/>
      <c r="BZ11" s="213"/>
      <c r="CA11" s="213"/>
      <c r="CB11" s="213"/>
      <c r="CC11" s="213"/>
      <c r="CD11" s="213"/>
      <c r="CE11" s="213"/>
      <c r="CF11" s="213"/>
      <c r="CG11" s="213"/>
      <c r="CH11" s="213"/>
      <c r="CI11" s="213"/>
      <c r="CJ11" s="213"/>
      <c r="CK11" s="213"/>
      <c r="CL11" s="213"/>
      <c r="CM11" s="213"/>
      <c r="CN11" s="213"/>
      <c r="CO11" s="213"/>
      <c r="CP11" s="213"/>
      <c r="CQ11" s="213"/>
      <c r="CR11" s="213"/>
      <c r="CS11" s="213"/>
      <c r="CT11" s="213"/>
      <c r="CU11" s="213"/>
    </row>
    <row r="12" spans="1:99" ht="15" thickBot="1">
      <c r="A12" s="212"/>
      <c r="B12" s="212"/>
      <c r="C12" s="212"/>
      <c r="D12" s="212"/>
      <c r="E12" s="212"/>
      <c r="F12" s="212"/>
      <c r="G12" s="212"/>
      <c r="H12" s="212"/>
      <c r="I12" s="212"/>
      <c r="J12" s="208" t="s">
        <v>9</v>
      </c>
      <c r="K12" s="334"/>
      <c r="L12" s="334">
        <v>1</v>
      </c>
      <c r="O12" s="212"/>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AQ12" s="213"/>
      <c r="AR12" s="213"/>
      <c r="AS12" s="213"/>
      <c r="AT12" s="213"/>
      <c r="AU12" s="213"/>
      <c r="AV12" s="213"/>
      <c r="AW12" s="213"/>
      <c r="AX12" s="213"/>
      <c r="AY12" s="213"/>
      <c r="AZ12" s="213"/>
      <c r="BA12" s="213"/>
      <c r="BB12" s="213"/>
      <c r="BC12" s="213"/>
      <c r="BD12" s="213"/>
      <c r="BE12" s="213"/>
      <c r="BF12" s="213"/>
      <c r="BG12" s="213"/>
      <c r="BH12" s="213"/>
      <c r="BI12" s="213"/>
      <c r="BJ12" s="213"/>
      <c r="BK12" s="213"/>
      <c r="BL12" s="213"/>
      <c r="BM12" s="213"/>
      <c r="BN12" s="213"/>
      <c r="BO12" s="213"/>
      <c r="BP12" s="213"/>
      <c r="BQ12" s="213"/>
      <c r="BR12" s="213"/>
      <c r="BS12" s="213"/>
      <c r="BT12" s="213"/>
      <c r="BU12" s="213"/>
      <c r="BV12" s="213"/>
      <c r="BW12" s="213"/>
      <c r="BX12" s="213"/>
      <c r="BY12" s="213"/>
      <c r="BZ12" s="213"/>
      <c r="CA12" s="213"/>
      <c r="CB12" s="213"/>
      <c r="CC12" s="213"/>
      <c r="CD12" s="213"/>
      <c r="CE12" s="213"/>
      <c r="CF12" s="213"/>
      <c r="CG12" s="213"/>
      <c r="CH12" s="213"/>
      <c r="CI12" s="213"/>
      <c r="CJ12" s="213"/>
      <c r="CK12" s="213"/>
      <c r="CL12" s="213"/>
      <c r="CM12" s="213"/>
      <c r="CN12" s="213"/>
      <c r="CO12" s="213"/>
      <c r="CP12" s="213"/>
      <c r="CQ12" s="213"/>
      <c r="CR12" s="213"/>
      <c r="CS12" s="213"/>
      <c r="CT12" s="213"/>
      <c r="CU12" s="213"/>
    </row>
    <row r="13" spans="1:99" ht="15" thickBot="1">
      <c r="A13" s="212"/>
      <c r="B13" s="212"/>
      <c r="C13" s="212"/>
      <c r="D13" s="212"/>
      <c r="E13" s="212"/>
      <c r="F13" s="212"/>
      <c r="G13" s="212"/>
      <c r="H13" s="212"/>
      <c r="I13" s="212"/>
      <c r="J13" s="305" t="s">
        <v>10</v>
      </c>
      <c r="K13" s="334"/>
      <c r="L13" s="334">
        <v>1</v>
      </c>
      <c r="O13" s="212"/>
      <c r="P13" s="213"/>
      <c r="Q13" s="213"/>
      <c r="R13" s="213"/>
      <c r="S13" s="213"/>
      <c r="T13" s="213"/>
      <c r="U13" s="213"/>
      <c r="V13" s="213"/>
      <c r="W13" s="213"/>
      <c r="X13" s="213"/>
      <c r="Y13" s="213"/>
      <c r="Z13" s="213"/>
      <c r="AA13" s="213"/>
      <c r="AB13" s="213"/>
      <c r="AC13" s="213"/>
      <c r="AD13" s="213"/>
      <c r="AE13" s="213"/>
      <c r="AF13" s="213"/>
      <c r="AG13" s="213"/>
      <c r="AH13" s="213"/>
      <c r="AI13" s="213"/>
      <c r="AJ13" s="213"/>
      <c r="AK13" s="213"/>
      <c r="AL13" s="213"/>
      <c r="AM13" s="213"/>
      <c r="AN13" s="213"/>
      <c r="AO13" s="213"/>
      <c r="AP13" s="213"/>
      <c r="AQ13" s="213"/>
      <c r="AR13" s="213"/>
      <c r="AS13" s="213"/>
      <c r="AT13" s="213"/>
      <c r="AU13" s="213"/>
      <c r="AV13" s="213"/>
      <c r="AW13" s="213"/>
      <c r="AX13" s="213"/>
      <c r="AY13" s="213"/>
      <c r="AZ13" s="213"/>
      <c r="BA13" s="213"/>
      <c r="BB13" s="213"/>
      <c r="BC13" s="213"/>
      <c r="BD13" s="213"/>
      <c r="BE13" s="213"/>
      <c r="BF13" s="213"/>
      <c r="BG13" s="213"/>
      <c r="BH13" s="213"/>
      <c r="BI13" s="213"/>
      <c r="BJ13" s="213"/>
      <c r="BK13" s="213"/>
      <c r="BL13" s="213"/>
      <c r="BM13" s="213"/>
      <c r="BN13" s="213"/>
      <c r="BO13" s="213"/>
      <c r="BP13" s="213"/>
      <c r="BQ13" s="213"/>
      <c r="BR13" s="213"/>
      <c r="BS13" s="213"/>
      <c r="BT13" s="213"/>
      <c r="BU13" s="213"/>
      <c r="BV13" s="213"/>
      <c r="BW13" s="213"/>
      <c r="BX13" s="213"/>
      <c r="BY13" s="213"/>
      <c r="BZ13" s="213"/>
      <c r="CA13" s="213"/>
      <c r="CB13" s="213"/>
      <c r="CC13" s="213"/>
      <c r="CD13" s="213"/>
      <c r="CE13" s="213"/>
      <c r="CF13" s="213"/>
      <c r="CG13" s="213"/>
      <c r="CH13" s="213"/>
      <c r="CI13" s="213"/>
      <c r="CJ13" s="213"/>
      <c r="CK13" s="213"/>
      <c r="CL13" s="213"/>
      <c r="CM13" s="213"/>
      <c r="CN13" s="213"/>
      <c r="CO13" s="213"/>
      <c r="CP13" s="213"/>
      <c r="CQ13" s="213"/>
      <c r="CR13" s="213"/>
      <c r="CS13" s="213"/>
      <c r="CT13" s="213"/>
      <c r="CU13" s="213"/>
    </row>
    <row r="14" spans="1:99" ht="15" thickBot="1">
      <c r="A14" s="212"/>
      <c r="B14" s="212"/>
      <c r="C14" s="212"/>
      <c r="D14" s="212"/>
      <c r="E14" s="212"/>
      <c r="F14" s="212"/>
      <c r="G14" s="212"/>
      <c r="H14" s="212"/>
      <c r="I14" s="212"/>
      <c r="J14" s="306" t="s">
        <v>203</v>
      </c>
      <c r="K14" s="334">
        <v>1</v>
      </c>
      <c r="L14" s="334"/>
      <c r="O14" s="212"/>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AQ14" s="213"/>
      <c r="AR14" s="213"/>
      <c r="AS14" s="213"/>
      <c r="AT14" s="213"/>
      <c r="AU14" s="213"/>
      <c r="AV14" s="213"/>
      <c r="AW14" s="213"/>
      <c r="AX14" s="213"/>
      <c r="AY14" s="213"/>
      <c r="AZ14" s="213"/>
      <c r="BA14" s="213"/>
      <c r="BB14" s="213"/>
      <c r="BC14" s="213"/>
      <c r="BD14" s="213"/>
      <c r="BE14" s="213"/>
      <c r="BF14" s="213"/>
      <c r="BG14" s="213"/>
      <c r="BH14" s="213"/>
      <c r="BI14" s="213"/>
      <c r="BJ14" s="213"/>
      <c r="BK14" s="213"/>
      <c r="BL14" s="213"/>
      <c r="BM14" s="213"/>
      <c r="BN14" s="213"/>
      <c r="BO14" s="213"/>
      <c r="BP14" s="213"/>
      <c r="BQ14" s="213"/>
      <c r="BR14" s="213"/>
      <c r="BS14" s="213"/>
      <c r="BT14" s="213"/>
      <c r="BU14" s="213"/>
      <c r="BV14" s="213"/>
      <c r="BW14" s="213"/>
      <c r="BX14" s="213"/>
      <c r="BY14" s="213"/>
      <c r="BZ14" s="213"/>
      <c r="CA14" s="213"/>
      <c r="CB14" s="213"/>
      <c r="CC14" s="213"/>
      <c r="CD14" s="213"/>
      <c r="CE14" s="213"/>
      <c r="CF14" s="213"/>
      <c r="CG14" s="213"/>
      <c r="CH14" s="213"/>
      <c r="CI14" s="213"/>
      <c r="CJ14" s="213"/>
      <c r="CK14" s="213"/>
      <c r="CL14" s="213"/>
      <c r="CM14" s="213"/>
      <c r="CN14" s="213"/>
      <c r="CO14" s="213"/>
      <c r="CP14" s="213"/>
      <c r="CQ14" s="213"/>
      <c r="CR14" s="213"/>
      <c r="CS14" s="213"/>
      <c r="CT14" s="213"/>
      <c r="CU14" s="213"/>
    </row>
    <row r="15" spans="1:99" ht="15" thickBot="1">
      <c r="A15" s="212"/>
      <c r="B15" s="212"/>
      <c r="C15" s="212"/>
      <c r="D15" s="212"/>
      <c r="E15" s="212"/>
      <c r="F15" s="212"/>
      <c r="G15" s="212"/>
      <c r="H15" s="212"/>
      <c r="I15" s="212"/>
      <c r="J15" s="305" t="s">
        <v>205</v>
      </c>
      <c r="K15" s="334">
        <v>1</v>
      </c>
      <c r="L15" s="334"/>
      <c r="O15" s="212"/>
      <c r="P15" s="213"/>
      <c r="Q15" s="213"/>
      <c r="R15" s="213"/>
      <c r="S15" s="213"/>
      <c r="T15" s="213"/>
      <c r="U15" s="213"/>
      <c r="V15" s="213"/>
      <c r="W15" s="213"/>
      <c r="X15" s="213"/>
      <c r="Y15" s="213"/>
      <c r="Z15" s="213"/>
      <c r="AA15" s="213"/>
      <c r="AB15" s="213"/>
      <c r="AC15" s="213"/>
      <c r="AD15" s="213"/>
      <c r="AE15" s="213"/>
      <c r="AF15" s="213"/>
      <c r="AG15" s="213"/>
      <c r="AH15" s="213"/>
      <c r="AI15" s="213"/>
      <c r="AJ15" s="213"/>
      <c r="AK15" s="213"/>
      <c r="AL15" s="213"/>
      <c r="AM15" s="213"/>
      <c r="AN15" s="213"/>
      <c r="AO15" s="213"/>
      <c r="AP15" s="213"/>
      <c r="AQ15" s="213"/>
      <c r="AR15" s="213"/>
      <c r="AS15" s="213"/>
      <c r="AT15" s="213"/>
      <c r="AU15" s="213"/>
      <c r="AV15" s="213"/>
      <c r="AW15" s="213"/>
      <c r="AX15" s="213"/>
      <c r="AY15" s="213"/>
      <c r="AZ15" s="213"/>
      <c r="BA15" s="213"/>
      <c r="BB15" s="213"/>
      <c r="BC15" s="213"/>
      <c r="BD15" s="213"/>
      <c r="BE15" s="213"/>
      <c r="BF15" s="213"/>
      <c r="BG15" s="213"/>
      <c r="BH15" s="213"/>
      <c r="BI15" s="213"/>
      <c r="BJ15" s="213"/>
      <c r="BK15" s="213"/>
      <c r="BL15" s="213"/>
      <c r="BM15" s="213"/>
      <c r="BN15" s="213"/>
      <c r="BO15" s="213"/>
      <c r="BP15" s="213"/>
      <c r="BQ15" s="213"/>
      <c r="BR15" s="213"/>
      <c r="BS15" s="213"/>
      <c r="BT15" s="213"/>
      <c r="BU15" s="213"/>
      <c r="BV15" s="213"/>
      <c r="BW15" s="213"/>
      <c r="BX15" s="213"/>
      <c r="BY15" s="213"/>
      <c r="BZ15" s="213"/>
      <c r="CA15" s="213"/>
      <c r="CB15" s="213"/>
      <c r="CC15" s="213"/>
      <c r="CD15" s="213"/>
      <c r="CE15" s="213"/>
      <c r="CF15" s="213"/>
      <c r="CG15" s="213"/>
      <c r="CH15" s="213"/>
      <c r="CI15" s="213"/>
      <c r="CJ15" s="213"/>
      <c r="CK15" s="213"/>
      <c r="CL15" s="213"/>
      <c r="CM15" s="213"/>
      <c r="CN15" s="213"/>
      <c r="CO15" s="213"/>
      <c r="CP15" s="213"/>
      <c r="CQ15" s="213"/>
      <c r="CR15" s="213"/>
      <c r="CS15" s="213"/>
      <c r="CT15" s="213"/>
      <c r="CU15" s="213"/>
    </row>
    <row r="16" spans="1:99" ht="15" thickBot="1">
      <c r="A16" s="212"/>
      <c r="B16" s="212"/>
      <c r="C16" s="212"/>
      <c r="D16" s="212"/>
      <c r="E16" s="212"/>
      <c r="F16" s="212"/>
      <c r="G16" s="212"/>
      <c r="H16" s="212"/>
      <c r="I16" s="212"/>
      <c r="J16" s="306" t="s">
        <v>12</v>
      </c>
      <c r="K16" s="334">
        <v>2</v>
      </c>
      <c r="L16" s="334">
        <v>1</v>
      </c>
      <c r="O16" s="212"/>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AQ16" s="213"/>
      <c r="AR16" s="213"/>
      <c r="AS16" s="213"/>
      <c r="AT16" s="213"/>
      <c r="AU16" s="213"/>
      <c r="AV16" s="213"/>
      <c r="AW16" s="213"/>
      <c r="AX16" s="213"/>
      <c r="AY16" s="213"/>
      <c r="AZ16" s="213"/>
      <c r="BA16" s="213"/>
      <c r="BB16" s="213"/>
      <c r="BC16" s="213"/>
      <c r="BD16" s="213"/>
      <c r="BE16" s="213"/>
      <c r="BF16" s="213"/>
      <c r="BG16" s="213"/>
      <c r="BH16" s="213"/>
      <c r="BI16" s="213"/>
      <c r="BJ16" s="213"/>
      <c r="BK16" s="213"/>
      <c r="BL16" s="213"/>
      <c r="BM16" s="213"/>
      <c r="BN16" s="213"/>
      <c r="BO16" s="213"/>
      <c r="BP16" s="213"/>
      <c r="BQ16" s="213"/>
      <c r="BR16" s="213"/>
      <c r="BS16" s="213"/>
      <c r="BT16" s="213"/>
      <c r="BU16" s="213"/>
      <c r="BV16" s="213"/>
      <c r="BW16" s="213"/>
      <c r="BX16" s="213"/>
      <c r="BY16" s="213"/>
      <c r="BZ16" s="213"/>
      <c r="CA16" s="213"/>
      <c r="CB16" s="213"/>
      <c r="CC16" s="213"/>
      <c r="CD16" s="213"/>
      <c r="CE16" s="213"/>
      <c r="CF16" s="213"/>
      <c r="CG16" s="213"/>
      <c r="CH16" s="213"/>
      <c r="CI16" s="213"/>
      <c r="CJ16" s="213"/>
      <c r="CK16" s="213"/>
      <c r="CL16" s="213"/>
      <c r="CM16" s="213"/>
      <c r="CN16" s="213"/>
      <c r="CO16" s="213"/>
      <c r="CP16" s="213"/>
      <c r="CQ16" s="213"/>
      <c r="CR16" s="213"/>
      <c r="CS16" s="213"/>
      <c r="CT16" s="213"/>
      <c r="CU16" s="213"/>
    </row>
    <row r="17" spans="1:99">
      <c r="A17" s="212"/>
      <c r="B17" s="212"/>
      <c r="C17" s="212"/>
      <c r="D17" s="212"/>
      <c r="E17" s="212"/>
      <c r="F17" s="212"/>
      <c r="G17" s="212"/>
      <c r="H17" s="212"/>
      <c r="I17" s="212"/>
      <c r="J17"/>
      <c r="O17" s="212"/>
      <c r="P17" s="213"/>
      <c r="Q17" s="213"/>
      <c r="R17" s="213"/>
      <c r="S17" s="213"/>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AQ17" s="213"/>
      <c r="AR17" s="213"/>
      <c r="AS17" s="213"/>
      <c r="AT17" s="213"/>
      <c r="AU17" s="213"/>
      <c r="AV17" s="213"/>
      <c r="AW17" s="213"/>
      <c r="AX17" s="213"/>
      <c r="AY17" s="213"/>
      <c r="AZ17" s="213"/>
      <c r="BA17" s="213"/>
      <c r="BB17" s="213"/>
      <c r="BC17" s="213"/>
      <c r="BD17" s="213"/>
      <c r="BE17" s="213"/>
      <c r="BF17" s="213"/>
      <c r="BG17" s="213"/>
      <c r="BH17" s="213"/>
      <c r="BI17" s="213"/>
      <c r="BJ17" s="213"/>
      <c r="BK17" s="213"/>
      <c r="BL17" s="213"/>
      <c r="BM17" s="213"/>
      <c r="BN17" s="213"/>
      <c r="BO17" s="213"/>
      <c r="BP17" s="213"/>
      <c r="BQ17" s="213"/>
      <c r="BR17" s="213"/>
      <c r="BS17" s="213"/>
      <c r="BT17" s="213"/>
      <c r="BU17" s="213"/>
      <c r="BV17" s="213"/>
      <c r="BW17" s="213"/>
      <c r="BX17" s="213"/>
      <c r="BY17" s="213"/>
      <c r="BZ17" s="213"/>
      <c r="CA17" s="213"/>
      <c r="CB17" s="213"/>
      <c r="CC17" s="213"/>
      <c r="CD17" s="213"/>
      <c r="CE17" s="213"/>
      <c r="CF17" s="213"/>
      <c r="CG17" s="213"/>
      <c r="CH17" s="213"/>
      <c r="CI17" s="213"/>
      <c r="CJ17" s="213"/>
      <c r="CK17" s="213"/>
      <c r="CL17" s="213"/>
      <c r="CM17" s="213"/>
      <c r="CN17" s="213"/>
      <c r="CO17" s="213"/>
      <c r="CP17" s="213"/>
      <c r="CQ17" s="213"/>
      <c r="CR17" s="213"/>
      <c r="CS17" s="213"/>
      <c r="CT17" s="213"/>
      <c r="CU17" s="213"/>
    </row>
    <row r="18" spans="1:99">
      <c r="A18" s="212"/>
      <c r="B18" s="212"/>
      <c r="C18" s="212"/>
      <c r="D18" s="212"/>
      <c r="E18" s="212"/>
      <c r="F18" s="212"/>
      <c r="G18" s="212"/>
      <c r="H18" s="212"/>
      <c r="I18" s="212"/>
      <c r="J18"/>
      <c r="O18" s="212"/>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AQ18" s="213"/>
      <c r="AR18" s="213"/>
      <c r="AS18" s="213"/>
      <c r="AT18" s="213"/>
      <c r="AU18" s="213"/>
      <c r="AV18" s="213"/>
      <c r="AW18" s="213"/>
      <c r="AX18" s="213"/>
      <c r="AY18" s="213"/>
      <c r="AZ18" s="213"/>
      <c r="BA18" s="213"/>
      <c r="BB18" s="213"/>
      <c r="BC18" s="213"/>
      <c r="BD18" s="213"/>
      <c r="BE18" s="213"/>
      <c r="BF18" s="213"/>
      <c r="BG18" s="213"/>
      <c r="BH18" s="213"/>
      <c r="BI18" s="213"/>
      <c r="BJ18" s="213"/>
      <c r="BK18" s="213"/>
      <c r="BL18" s="213"/>
      <c r="BM18" s="213"/>
      <c r="BN18" s="213"/>
      <c r="BO18" s="213"/>
      <c r="BP18" s="213"/>
      <c r="BQ18" s="213"/>
      <c r="BR18" s="213"/>
      <c r="BS18" s="213"/>
      <c r="BT18" s="213"/>
      <c r="BU18" s="213"/>
      <c r="BV18" s="213"/>
      <c r="BW18" s="213"/>
      <c r="BX18" s="213"/>
      <c r="BY18" s="213"/>
      <c r="BZ18" s="213"/>
      <c r="CA18" s="213"/>
      <c r="CB18" s="213"/>
      <c r="CC18" s="213"/>
      <c r="CD18" s="213"/>
      <c r="CE18" s="213"/>
      <c r="CF18" s="213"/>
      <c r="CG18" s="213"/>
      <c r="CH18" s="213"/>
      <c r="CI18" s="213"/>
      <c r="CJ18" s="213"/>
      <c r="CK18" s="213"/>
      <c r="CL18" s="213"/>
      <c r="CM18" s="213"/>
      <c r="CN18" s="213"/>
      <c r="CO18" s="213"/>
      <c r="CP18" s="213"/>
      <c r="CQ18" s="213"/>
      <c r="CR18" s="213"/>
      <c r="CS18" s="213"/>
      <c r="CT18" s="213"/>
      <c r="CU18" s="213"/>
    </row>
    <row r="19" spans="1:99">
      <c r="A19" s="212"/>
      <c r="B19" s="212"/>
      <c r="C19" s="212"/>
      <c r="D19" s="212"/>
      <c r="E19" s="212"/>
      <c r="F19" s="212"/>
      <c r="G19" s="212"/>
      <c r="H19" s="212"/>
      <c r="I19" s="212"/>
      <c r="J19" s="212"/>
      <c r="K19" s="212"/>
      <c r="L19" s="212"/>
      <c r="M19" s="212"/>
      <c r="N19" s="212"/>
      <c r="O19" s="212"/>
      <c r="P19" s="213"/>
      <c r="Q19" s="213"/>
      <c r="R19" s="213"/>
      <c r="S19" s="213"/>
      <c r="T19" s="213"/>
      <c r="U19" s="213"/>
      <c r="V19" s="213"/>
      <c r="W19" s="213"/>
      <c r="X19" s="213"/>
      <c r="Y19" s="213"/>
      <c r="Z19" s="213"/>
      <c r="AA19" s="213"/>
      <c r="AB19" s="213"/>
      <c r="AC19" s="213"/>
      <c r="AD19" s="213"/>
      <c r="AE19" s="213"/>
      <c r="AF19" s="213"/>
      <c r="AG19" s="213"/>
      <c r="AH19" s="213"/>
      <c r="AI19" s="213"/>
      <c r="AJ19" s="213"/>
      <c r="AK19" s="213"/>
      <c r="AL19" s="213"/>
      <c r="AM19" s="213"/>
      <c r="AN19" s="213"/>
      <c r="AO19" s="213"/>
      <c r="AP19" s="213"/>
      <c r="AQ19" s="213"/>
      <c r="AR19" s="213"/>
      <c r="AS19" s="213"/>
      <c r="AT19" s="213"/>
      <c r="AU19" s="213"/>
      <c r="AV19" s="213"/>
      <c r="AW19" s="213"/>
      <c r="AX19" s="213"/>
      <c r="AY19" s="213"/>
      <c r="AZ19" s="213"/>
      <c r="BA19" s="213"/>
      <c r="BB19" s="213"/>
      <c r="BC19" s="213"/>
      <c r="BD19" s="213"/>
      <c r="BE19" s="213"/>
      <c r="BF19" s="213"/>
      <c r="BG19" s="213"/>
      <c r="BH19" s="213"/>
      <c r="BI19" s="213"/>
      <c r="BJ19" s="213"/>
      <c r="BK19" s="213"/>
      <c r="BL19" s="213"/>
      <c r="BM19" s="213"/>
      <c r="BN19" s="213"/>
      <c r="BO19" s="213"/>
      <c r="BP19" s="213"/>
      <c r="BQ19" s="213"/>
      <c r="BR19" s="213"/>
      <c r="BS19" s="213"/>
      <c r="BT19" s="213"/>
      <c r="BU19" s="213"/>
      <c r="BV19" s="213"/>
      <c r="BW19" s="213"/>
      <c r="BX19" s="213"/>
      <c r="BY19" s="213"/>
      <c r="BZ19" s="213"/>
      <c r="CA19" s="213"/>
      <c r="CB19" s="213"/>
      <c r="CC19" s="213"/>
      <c r="CD19" s="213"/>
      <c r="CE19" s="213"/>
      <c r="CF19" s="213"/>
      <c r="CG19" s="213"/>
      <c r="CH19" s="213"/>
      <c r="CI19" s="213"/>
      <c r="CJ19" s="213"/>
      <c r="CK19" s="213"/>
      <c r="CL19" s="213"/>
      <c r="CM19" s="213"/>
      <c r="CN19" s="213"/>
      <c r="CO19" s="213"/>
      <c r="CP19" s="213"/>
      <c r="CQ19" s="213"/>
      <c r="CR19" s="213"/>
      <c r="CS19" s="213"/>
      <c r="CT19" s="213"/>
      <c r="CU19" s="213"/>
    </row>
    <row r="20" spans="1:99">
      <c r="A20" s="212"/>
      <c r="B20" s="212"/>
      <c r="C20" s="212"/>
      <c r="D20" s="212"/>
      <c r="E20" s="212"/>
      <c r="F20" s="212"/>
      <c r="G20" s="212"/>
      <c r="H20" s="212"/>
      <c r="I20" s="212"/>
      <c r="J20" s="212"/>
      <c r="K20" s="212"/>
      <c r="L20" s="212"/>
      <c r="M20" s="212"/>
      <c r="N20" s="212"/>
      <c r="O20" s="212"/>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AQ20" s="213"/>
      <c r="AR20" s="213"/>
      <c r="AS20" s="213"/>
      <c r="AT20" s="213"/>
      <c r="AU20" s="213"/>
      <c r="AV20" s="213"/>
      <c r="AW20" s="213"/>
      <c r="AX20" s="213"/>
      <c r="AY20" s="213"/>
      <c r="AZ20" s="213"/>
      <c r="BA20" s="213"/>
      <c r="BB20" s="213"/>
      <c r="BC20" s="213"/>
      <c r="BD20" s="213"/>
      <c r="BE20" s="213"/>
      <c r="BF20" s="213"/>
      <c r="BG20" s="213"/>
      <c r="BH20" s="213"/>
      <c r="BI20" s="213"/>
      <c r="BJ20" s="213"/>
      <c r="BK20" s="213"/>
      <c r="BL20" s="213"/>
      <c r="BM20" s="213"/>
      <c r="BN20" s="213"/>
      <c r="BO20" s="213"/>
      <c r="BP20" s="213"/>
      <c r="BQ20" s="213"/>
      <c r="BR20" s="213"/>
      <c r="BS20" s="213"/>
      <c r="BT20" s="213"/>
      <c r="BU20" s="213"/>
      <c r="BV20" s="213"/>
      <c r="BW20" s="213"/>
      <c r="BX20" s="213"/>
      <c r="BY20" s="213"/>
      <c r="BZ20" s="213"/>
      <c r="CA20" s="213"/>
      <c r="CB20" s="213"/>
      <c r="CC20" s="213"/>
      <c r="CD20" s="213"/>
      <c r="CE20" s="213"/>
      <c r="CF20" s="213"/>
      <c r="CG20" s="213"/>
      <c r="CH20" s="213"/>
      <c r="CI20" s="213"/>
      <c r="CJ20" s="213"/>
      <c r="CK20" s="213"/>
      <c r="CL20" s="213"/>
      <c r="CM20" s="213"/>
      <c r="CN20" s="213"/>
      <c r="CO20" s="213"/>
      <c r="CP20" s="213"/>
      <c r="CQ20" s="213"/>
      <c r="CR20" s="213"/>
      <c r="CS20" s="213"/>
      <c r="CT20" s="213"/>
      <c r="CU20" s="213"/>
    </row>
    <row r="21" spans="1:99">
      <c r="A21" s="212"/>
      <c r="B21" s="212"/>
      <c r="C21" s="212"/>
      <c r="D21" s="212"/>
      <c r="E21" s="212"/>
      <c r="F21" s="212"/>
      <c r="G21" s="212"/>
      <c r="H21" s="212"/>
      <c r="I21" s="212"/>
      <c r="J21" s="300"/>
      <c r="K21" s="212"/>
      <c r="L21" s="212"/>
      <c r="M21" s="212"/>
      <c r="N21" s="212"/>
      <c r="O21" s="212"/>
      <c r="P21" s="213"/>
      <c r="Q21" s="213"/>
      <c r="R21" s="213"/>
      <c r="S21" s="213"/>
      <c r="T21" s="213"/>
      <c r="U21" s="213"/>
      <c r="V21" s="213"/>
      <c r="W21" s="213"/>
      <c r="X21" s="213"/>
      <c r="Y21" s="213"/>
      <c r="Z21" s="213"/>
      <c r="AA21" s="213"/>
      <c r="AB21" s="213"/>
      <c r="AC21" s="213"/>
      <c r="AD21" s="213"/>
      <c r="AE21" s="213"/>
      <c r="AF21" s="213"/>
      <c r="AG21" s="213"/>
      <c r="AH21" s="213"/>
      <c r="AI21" s="213"/>
      <c r="AJ21" s="213"/>
      <c r="AK21" s="213"/>
      <c r="AL21" s="213"/>
      <c r="AM21" s="213"/>
      <c r="AN21" s="213"/>
      <c r="AO21" s="213"/>
      <c r="AP21" s="213"/>
      <c r="AQ21" s="213"/>
      <c r="AR21" s="213"/>
      <c r="AS21" s="213"/>
      <c r="AT21" s="213"/>
      <c r="AU21" s="213"/>
      <c r="AV21" s="213"/>
      <c r="AW21" s="213"/>
      <c r="AX21" s="213"/>
      <c r="AY21" s="213"/>
      <c r="AZ21" s="213"/>
      <c r="BA21" s="213"/>
      <c r="BB21" s="213"/>
      <c r="BC21" s="213"/>
      <c r="BD21" s="213"/>
      <c r="BE21" s="213"/>
      <c r="BF21" s="213"/>
      <c r="BG21" s="213"/>
      <c r="BH21" s="213"/>
      <c r="BI21" s="213"/>
      <c r="BJ21" s="213"/>
      <c r="BK21" s="213"/>
      <c r="BL21" s="213"/>
      <c r="BM21" s="213"/>
      <c r="BN21" s="213"/>
      <c r="BO21" s="213"/>
      <c r="BP21" s="213"/>
      <c r="BQ21" s="213"/>
      <c r="BR21" s="213"/>
      <c r="BS21" s="213"/>
      <c r="BT21" s="213"/>
      <c r="BU21" s="213"/>
      <c r="BV21" s="213"/>
      <c r="BW21" s="213"/>
      <c r="BX21" s="213"/>
      <c r="BY21" s="213"/>
      <c r="BZ21" s="213"/>
      <c r="CA21" s="213"/>
      <c r="CB21" s="213"/>
      <c r="CC21" s="213"/>
      <c r="CD21" s="213"/>
      <c r="CE21" s="213"/>
      <c r="CF21" s="213"/>
      <c r="CG21" s="213"/>
      <c r="CH21" s="213"/>
      <c r="CI21" s="213"/>
      <c r="CJ21" s="213"/>
      <c r="CK21" s="213"/>
      <c r="CL21" s="213"/>
      <c r="CM21" s="213"/>
      <c r="CN21" s="213"/>
      <c r="CO21" s="213"/>
      <c r="CP21" s="213"/>
      <c r="CQ21" s="213"/>
      <c r="CR21" s="213"/>
      <c r="CS21" s="213"/>
      <c r="CT21" s="213"/>
      <c r="CU21" s="213"/>
    </row>
    <row r="22" spans="1:99">
      <c r="A22" s="212"/>
      <c r="B22" s="212"/>
      <c r="C22" s="212"/>
      <c r="D22" s="212"/>
      <c r="E22" s="212"/>
      <c r="F22" s="212"/>
      <c r="G22" s="212"/>
      <c r="H22" s="212"/>
      <c r="I22" s="212"/>
      <c r="J22" s="300"/>
      <c r="K22" s="212"/>
      <c r="L22" s="212"/>
      <c r="M22" s="212"/>
      <c r="N22" s="212"/>
      <c r="O22" s="212"/>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AQ22" s="213"/>
      <c r="AR22" s="213"/>
      <c r="AS22" s="213"/>
      <c r="AT22" s="213"/>
      <c r="AU22" s="213"/>
      <c r="AV22" s="213"/>
      <c r="AW22" s="213"/>
      <c r="AX22" s="213"/>
      <c r="AY22" s="213"/>
      <c r="AZ22" s="213"/>
      <c r="BA22" s="213"/>
      <c r="BB22" s="213"/>
      <c r="BC22" s="213"/>
      <c r="BD22" s="213"/>
      <c r="BE22" s="213"/>
      <c r="BF22" s="213"/>
      <c r="BG22" s="213"/>
      <c r="BH22" s="213"/>
      <c r="BI22" s="213"/>
      <c r="BJ22" s="213"/>
      <c r="BK22" s="213"/>
      <c r="BL22" s="213"/>
      <c r="BM22" s="213"/>
      <c r="BN22" s="213"/>
      <c r="BO22" s="213"/>
      <c r="BP22" s="213"/>
      <c r="BQ22" s="213"/>
      <c r="BR22" s="213"/>
      <c r="BS22" s="213"/>
      <c r="BT22" s="213"/>
      <c r="BU22" s="213"/>
      <c r="BV22" s="213"/>
      <c r="BW22" s="213"/>
      <c r="BX22" s="213"/>
      <c r="BY22" s="213"/>
      <c r="BZ22" s="213"/>
      <c r="CA22" s="213"/>
      <c r="CB22" s="213"/>
      <c r="CC22" s="213"/>
      <c r="CD22" s="213"/>
      <c r="CE22" s="213"/>
      <c r="CF22" s="213"/>
      <c r="CG22" s="213"/>
      <c r="CH22" s="213"/>
      <c r="CI22" s="213"/>
      <c r="CJ22" s="213"/>
      <c r="CK22" s="213"/>
      <c r="CL22" s="213"/>
      <c r="CM22" s="213"/>
      <c r="CN22" s="213"/>
      <c r="CO22" s="213"/>
      <c r="CP22" s="213"/>
      <c r="CQ22" s="213"/>
      <c r="CR22" s="213"/>
      <c r="CS22" s="213"/>
      <c r="CT22" s="213"/>
      <c r="CU22" s="213"/>
    </row>
    <row r="23" spans="1:99">
      <c r="A23" s="212"/>
      <c r="B23" s="212"/>
      <c r="C23" s="212"/>
      <c r="D23" s="212"/>
      <c r="E23" s="212"/>
      <c r="F23" s="212"/>
      <c r="G23" s="212"/>
      <c r="H23" s="212"/>
      <c r="I23" s="212"/>
      <c r="J23" s="300"/>
      <c r="K23" s="212"/>
      <c r="L23" s="212"/>
      <c r="M23" s="212"/>
      <c r="N23" s="212"/>
      <c r="O23" s="212"/>
      <c r="P23" s="213"/>
      <c r="Q23" s="213"/>
      <c r="R23" s="213"/>
      <c r="S23" s="213"/>
      <c r="T23" s="213"/>
      <c r="U23" s="213"/>
      <c r="V23" s="213"/>
      <c r="W23" s="213"/>
      <c r="X23" s="213"/>
      <c r="Y23" s="213"/>
      <c r="Z23" s="213"/>
      <c r="AA23" s="213"/>
      <c r="AB23" s="213"/>
      <c r="AC23" s="213"/>
      <c r="AD23" s="213"/>
      <c r="AE23" s="213"/>
      <c r="AF23" s="213"/>
      <c r="AG23" s="213"/>
      <c r="AH23" s="213"/>
      <c r="AI23" s="213"/>
      <c r="AJ23" s="213"/>
      <c r="AK23" s="213"/>
      <c r="AL23" s="213"/>
      <c r="AM23" s="213"/>
      <c r="AN23" s="213"/>
      <c r="AO23" s="213"/>
      <c r="AP23" s="213"/>
      <c r="AQ23" s="213"/>
      <c r="AR23" s="213"/>
      <c r="AS23" s="213"/>
      <c r="AT23" s="213"/>
      <c r="AU23" s="213"/>
      <c r="AV23" s="213"/>
      <c r="AW23" s="213"/>
      <c r="AX23" s="213"/>
      <c r="AY23" s="213"/>
      <c r="AZ23" s="213"/>
      <c r="BA23" s="213"/>
      <c r="BB23" s="213"/>
      <c r="BC23" s="213"/>
      <c r="BD23" s="213"/>
      <c r="BE23" s="213"/>
      <c r="BF23" s="213"/>
      <c r="BG23" s="213"/>
      <c r="BH23" s="213"/>
      <c r="BI23" s="213"/>
      <c r="BJ23" s="213"/>
      <c r="BK23" s="213"/>
      <c r="BL23" s="213"/>
      <c r="BM23" s="213"/>
      <c r="BN23" s="213"/>
      <c r="BO23" s="213"/>
      <c r="BP23" s="213"/>
      <c r="BQ23" s="213"/>
      <c r="BR23" s="213"/>
      <c r="BS23" s="213"/>
      <c r="BT23" s="213"/>
      <c r="BU23" s="213"/>
      <c r="BV23" s="213"/>
      <c r="BW23" s="213"/>
      <c r="BX23" s="213"/>
      <c r="BY23" s="213"/>
      <c r="BZ23" s="213"/>
      <c r="CA23" s="213"/>
      <c r="CB23" s="213"/>
      <c r="CC23" s="213"/>
      <c r="CD23" s="213"/>
      <c r="CE23" s="213"/>
      <c r="CF23" s="213"/>
      <c r="CG23" s="213"/>
      <c r="CH23" s="213"/>
      <c r="CI23" s="213"/>
      <c r="CJ23" s="213"/>
      <c r="CK23" s="213"/>
      <c r="CL23" s="213"/>
      <c r="CM23" s="213"/>
      <c r="CN23" s="213"/>
      <c r="CO23" s="213"/>
      <c r="CP23" s="213"/>
      <c r="CQ23" s="213"/>
      <c r="CR23" s="213"/>
      <c r="CS23" s="213"/>
      <c r="CT23" s="213"/>
      <c r="CU23" s="213"/>
    </row>
    <row r="24" spans="1:99">
      <c r="A24" s="212"/>
      <c r="B24" s="212"/>
      <c r="C24" s="212"/>
      <c r="D24" s="212"/>
      <c r="E24" s="212"/>
      <c r="F24" s="212"/>
      <c r="G24" s="212"/>
      <c r="H24" s="212"/>
      <c r="I24" s="212"/>
      <c r="J24" s="300"/>
      <c r="K24" s="212"/>
      <c r="L24" s="212"/>
      <c r="M24" s="212"/>
      <c r="N24" s="212"/>
      <c r="O24" s="212"/>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AQ24" s="213"/>
      <c r="AR24" s="213"/>
      <c r="AS24" s="213"/>
      <c r="AT24" s="213"/>
      <c r="AU24" s="213"/>
      <c r="AV24" s="213"/>
      <c r="AW24" s="213"/>
      <c r="AX24" s="213"/>
      <c r="AY24" s="213"/>
      <c r="AZ24" s="213"/>
      <c r="BA24" s="213"/>
      <c r="BB24" s="213"/>
      <c r="BC24" s="213"/>
      <c r="BD24" s="213"/>
      <c r="BE24" s="213"/>
      <c r="BF24" s="213"/>
      <c r="BG24" s="213"/>
      <c r="BH24" s="213"/>
      <c r="BI24" s="213"/>
      <c r="BJ24" s="213"/>
      <c r="BK24" s="213"/>
      <c r="BL24" s="213"/>
      <c r="BM24" s="213"/>
      <c r="BN24" s="213"/>
      <c r="BO24" s="213"/>
      <c r="BP24" s="213"/>
      <c r="BQ24" s="213"/>
      <c r="BR24" s="213"/>
      <c r="BS24" s="213"/>
      <c r="BT24" s="213"/>
      <c r="BU24" s="213"/>
      <c r="BV24" s="213"/>
      <c r="BW24" s="213"/>
      <c r="BX24" s="213"/>
      <c r="BY24" s="213"/>
      <c r="BZ24" s="213"/>
      <c r="CA24" s="213"/>
      <c r="CB24" s="213"/>
      <c r="CC24" s="213"/>
      <c r="CD24" s="213"/>
      <c r="CE24" s="213"/>
      <c r="CF24" s="213"/>
      <c r="CG24" s="213"/>
      <c r="CH24" s="213"/>
      <c r="CI24" s="213"/>
      <c r="CJ24" s="213"/>
      <c r="CK24" s="213"/>
      <c r="CL24" s="213"/>
      <c r="CM24" s="213"/>
      <c r="CN24" s="213"/>
      <c r="CO24" s="213"/>
      <c r="CP24" s="213"/>
      <c r="CQ24" s="213"/>
      <c r="CR24" s="213"/>
      <c r="CS24" s="213"/>
      <c r="CT24" s="213"/>
      <c r="CU24" s="213"/>
    </row>
    <row r="25" spans="1:99">
      <c r="A25" s="212"/>
      <c r="B25" s="212"/>
      <c r="C25" s="212"/>
      <c r="D25" s="212"/>
      <c r="E25" s="212"/>
      <c r="F25" s="212"/>
      <c r="G25" s="212"/>
      <c r="H25" s="212"/>
      <c r="I25" s="212"/>
      <c r="J25" s="300"/>
      <c r="K25" s="212"/>
      <c r="L25" s="212"/>
      <c r="M25" s="212"/>
      <c r="N25" s="212"/>
      <c r="O25" s="212"/>
      <c r="P25" s="213"/>
      <c r="Q25" s="213"/>
      <c r="R25" s="213"/>
      <c r="S25" s="213"/>
      <c r="T25" s="213"/>
      <c r="U25" s="213"/>
      <c r="V25" s="213"/>
      <c r="W25" s="213"/>
      <c r="X25" s="213"/>
      <c r="Y25" s="213"/>
      <c r="Z25" s="213"/>
      <c r="AA25" s="213"/>
      <c r="AB25" s="213"/>
      <c r="AC25" s="213"/>
      <c r="AD25" s="213"/>
      <c r="AE25" s="213"/>
      <c r="AF25" s="213"/>
      <c r="AG25" s="213"/>
      <c r="AH25" s="213"/>
      <c r="AI25" s="213"/>
      <c r="AJ25" s="213"/>
      <c r="AK25" s="213"/>
      <c r="AL25" s="213"/>
      <c r="AM25" s="213"/>
      <c r="AN25" s="213"/>
      <c r="AO25" s="213"/>
      <c r="AP25" s="213"/>
      <c r="AQ25" s="213"/>
      <c r="AR25" s="213"/>
      <c r="AS25" s="213"/>
      <c r="AT25" s="213"/>
      <c r="AU25" s="213"/>
      <c r="AV25" s="213"/>
      <c r="AW25" s="213"/>
      <c r="AX25" s="213"/>
      <c r="AY25" s="213"/>
      <c r="AZ25" s="213"/>
      <c r="BA25" s="213"/>
      <c r="BB25" s="213"/>
      <c r="BC25" s="213"/>
      <c r="BD25" s="213"/>
      <c r="BE25" s="213"/>
      <c r="BF25" s="213"/>
      <c r="BG25" s="213"/>
      <c r="BH25" s="213"/>
      <c r="BI25" s="213"/>
      <c r="BJ25" s="213"/>
      <c r="BK25" s="213"/>
      <c r="BL25" s="213"/>
      <c r="BM25" s="213"/>
      <c r="BN25" s="213"/>
      <c r="BO25" s="213"/>
      <c r="BP25" s="213"/>
      <c r="BQ25" s="213"/>
      <c r="BR25" s="213"/>
      <c r="BS25" s="213"/>
      <c r="BT25" s="213"/>
      <c r="BU25" s="213"/>
      <c r="BV25" s="213"/>
      <c r="BW25" s="213"/>
      <c r="BX25" s="213"/>
      <c r="BY25" s="213"/>
      <c r="BZ25" s="213"/>
      <c r="CA25" s="213"/>
      <c r="CB25" s="213"/>
      <c r="CC25" s="213"/>
      <c r="CD25" s="213"/>
      <c r="CE25" s="213"/>
      <c r="CF25" s="213"/>
      <c r="CG25" s="213"/>
      <c r="CH25" s="213"/>
      <c r="CI25" s="213"/>
      <c r="CJ25" s="213"/>
      <c r="CK25" s="213"/>
      <c r="CL25" s="213"/>
      <c r="CM25" s="213"/>
      <c r="CN25" s="213"/>
      <c r="CO25" s="213"/>
      <c r="CP25" s="213"/>
      <c r="CQ25" s="213"/>
      <c r="CR25" s="213"/>
      <c r="CS25" s="213"/>
      <c r="CT25" s="213"/>
      <c r="CU25" s="213"/>
    </row>
    <row r="26" spans="1:99">
      <c r="A26" s="212"/>
      <c r="B26" s="212"/>
      <c r="C26" s="212"/>
      <c r="D26" s="212"/>
      <c r="E26" s="212"/>
      <c r="F26" s="212"/>
      <c r="G26" s="212"/>
      <c r="H26" s="212"/>
      <c r="I26" s="212"/>
      <c r="J26" s="300"/>
      <c r="K26" s="212"/>
      <c r="L26" s="212"/>
      <c r="M26" s="212"/>
      <c r="N26" s="212"/>
      <c r="O26" s="212"/>
      <c r="P26" s="213"/>
      <c r="Q26" s="213"/>
      <c r="R26" s="213"/>
      <c r="S26" s="213"/>
      <c r="T26" s="213"/>
      <c r="U26" s="213"/>
      <c r="V26" s="213"/>
      <c r="W26" s="213"/>
      <c r="X26" s="213"/>
      <c r="Y26" s="213"/>
      <c r="Z26" s="213"/>
      <c r="AA26" s="213"/>
      <c r="AB26" s="213"/>
      <c r="AC26" s="213"/>
      <c r="AD26" s="213"/>
      <c r="AE26" s="213"/>
      <c r="AF26" s="213"/>
      <c r="AG26" s="213"/>
      <c r="AH26" s="213"/>
      <c r="AI26" s="213"/>
      <c r="AJ26" s="213"/>
      <c r="AK26" s="213"/>
      <c r="AL26" s="213"/>
      <c r="AM26" s="213"/>
      <c r="AN26" s="213"/>
      <c r="AO26" s="213"/>
      <c r="AP26" s="213"/>
      <c r="AQ26" s="213"/>
      <c r="AR26" s="213"/>
      <c r="AS26" s="213"/>
      <c r="AT26" s="213"/>
      <c r="AU26" s="213"/>
      <c r="AV26" s="213"/>
      <c r="AW26" s="213"/>
      <c r="AX26" s="213"/>
      <c r="AY26" s="213"/>
      <c r="AZ26" s="213"/>
      <c r="BA26" s="213"/>
      <c r="BB26" s="213"/>
      <c r="BC26" s="213"/>
      <c r="BD26" s="213"/>
      <c r="BE26" s="213"/>
      <c r="BF26" s="213"/>
      <c r="BG26" s="213"/>
      <c r="BH26" s="213"/>
      <c r="BI26" s="213"/>
      <c r="BJ26" s="213"/>
      <c r="BK26" s="213"/>
      <c r="BL26" s="213"/>
      <c r="BM26" s="213"/>
      <c r="BN26" s="213"/>
      <c r="BO26" s="213"/>
      <c r="BP26" s="213"/>
      <c r="BQ26" s="213"/>
      <c r="BR26" s="213"/>
      <c r="BS26" s="213"/>
      <c r="BT26" s="213"/>
      <c r="BU26" s="213"/>
      <c r="BV26" s="213"/>
      <c r="BW26" s="213"/>
      <c r="BX26" s="213"/>
      <c r="BY26" s="213"/>
      <c r="BZ26" s="213"/>
      <c r="CA26" s="213"/>
      <c r="CB26" s="213"/>
      <c r="CC26" s="213"/>
      <c r="CD26" s="213"/>
      <c r="CE26" s="213"/>
      <c r="CF26" s="213"/>
      <c r="CG26" s="213"/>
      <c r="CH26" s="213"/>
      <c r="CI26" s="213"/>
      <c r="CJ26" s="213"/>
      <c r="CK26" s="213"/>
      <c r="CL26" s="213"/>
      <c r="CM26" s="213"/>
      <c r="CN26" s="213"/>
      <c r="CO26" s="213"/>
      <c r="CP26" s="213"/>
      <c r="CQ26" s="213"/>
      <c r="CR26" s="213"/>
      <c r="CS26" s="213"/>
      <c r="CT26" s="213"/>
      <c r="CU26" s="213"/>
    </row>
    <row r="27" spans="1:99">
      <c r="A27" s="212"/>
      <c r="B27" s="212"/>
      <c r="C27" s="212"/>
      <c r="D27" s="212"/>
      <c r="E27" s="212"/>
      <c r="F27" s="212"/>
      <c r="G27" s="212"/>
      <c r="H27" s="212"/>
      <c r="I27" s="212"/>
      <c r="J27" s="300"/>
      <c r="K27" s="212"/>
      <c r="L27" s="212"/>
      <c r="M27" s="212"/>
      <c r="N27" s="212"/>
      <c r="O27" s="212"/>
      <c r="P27" s="213"/>
      <c r="Q27" s="213"/>
      <c r="R27" s="213"/>
      <c r="S27" s="213"/>
      <c r="T27" s="213"/>
      <c r="U27" s="213"/>
      <c r="V27" s="213"/>
      <c r="W27" s="213"/>
      <c r="X27" s="213"/>
      <c r="Y27" s="213"/>
      <c r="Z27" s="213"/>
      <c r="AA27" s="213"/>
      <c r="AB27" s="213"/>
      <c r="AC27" s="213"/>
      <c r="AD27" s="213"/>
      <c r="AE27" s="213"/>
      <c r="AF27" s="213"/>
      <c r="AG27" s="213"/>
      <c r="AH27" s="213"/>
      <c r="AI27" s="213"/>
      <c r="AJ27" s="213"/>
      <c r="AK27" s="213"/>
      <c r="AL27" s="213"/>
      <c r="AM27" s="213"/>
      <c r="AN27" s="213"/>
      <c r="AO27" s="213"/>
      <c r="AP27" s="213"/>
      <c r="AQ27" s="213"/>
      <c r="AR27" s="213"/>
      <c r="AS27" s="213"/>
      <c r="AT27" s="213"/>
      <c r="AU27" s="213"/>
      <c r="AV27" s="213"/>
      <c r="AW27" s="213"/>
      <c r="AX27" s="213"/>
      <c r="AY27" s="213"/>
      <c r="AZ27" s="213"/>
      <c r="BA27" s="213"/>
      <c r="BB27" s="213"/>
      <c r="BC27" s="213"/>
      <c r="BD27" s="213"/>
      <c r="BE27" s="213"/>
      <c r="BF27" s="213"/>
      <c r="BG27" s="213"/>
      <c r="BH27" s="213"/>
      <c r="BI27" s="213"/>
      <c r="BJ27" s="213"/>
      <c r="BK27" s="213"/>
      <c r="BL27" s="213"/>
      <c r="BM27" s="213"/>
      <c r="BN27" s="213"/>
      <c r="BO27" s="213"/>
      <c r="BP27" s="213"/>
      <c r="BQ27" s="213"/>
      <c r="BR27" s="213"/>
      <c r="BS27" s="213"/>
      <c r="BT27" s="213"/>
      <c r="BU27" s="213"/>
      <c r="BV27" s="213"/>
      <c r="BW27" s="213"/>
      <c r="BX27" s="213"/>
      <c r="BY27" s="213"/>
      <c r="BZ27" s="213"/>
      <c r="CA27" s="213"/>
      <c r="CB27" s="213"/>
      <c r="CC27" s="213"/>
      <c r="CD27" s="213"/>
      <c r="CE27" s="213"/>
      <c r="CF27" s="213"/>
      <c r="CG27" s="213"/>
      <c r="CH27" s="213"/>
      <c r="CI27" s="213"/>
      <c r="CJ27" s="213"/>
      <c r="CK27" s="213"/>
      <c r="CL27" s="213"/>
      <c r="CM27" s="213"/>
      <c r="CN27" s="213"/>
      <c r="CO27" s="213"/>
      <c r="CP27" s="213"/>
      <c r="CQ27" s="213"/>
      <c r="CR27" s="213"/>
      <c r="CS27" s="213"/>
      <c r="CT27" s="213"/>
      <c r="CU27" s="213"/>
    </row>
    <row r="28" spans="1:99">
      <c r="A28" s="212"/>
      <c r="B28" s="212"/>
      <c r="C28" s="212"/>
      <c r="D28" s="212"/>
      <c r="E28" s="212"/>
      <c r="F28" s="212"/>
      <c r="G28" s="212"/>
      <c r="H28" s="212"/>
      <c r="I28" s="212"/>
      <c r="J28" s="300"/>
      <c r="K28" s="212"/>
      <c r="L28" s="212"/>
      <c r="M28" s="212"/>
      <c r="N28" s="212"/>
      <c r="O28" s="212"/>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AQ28" s="213"/>
      <c r="AR28" s="213"/>
      <c r="AS28" s="213"/>
      <c r="AT28" s="213"/>
      <c r="AU28" s="213"/>
      <c r="AV28" s="213"/>
      <c r="AW28" s="213"/>
      <c r="AX28" s="213"/>
      <c r="AY28" s="213"/>
      <c r="AZ28" s="213"/>
      <c r="BA28" s="213"/>
      <c r="BB28" s="213"/>
      <c r="BC28" s="213"/>
      <c r="BD28" s="213"/>
      <c r="BE28" s="213"/>
      <c r="BF28" s="213"/>
      <c r="BG28" s="213"/>
      <c r="BH28" s="213"/>
      <c r="BI28" s="213"/>
      <c r="BJ28" s="213"/>
      <c r="BK28" s="213"/>
      <c r="BL28" s="213"/>
      <c r="BM28" s="213"/>
      <c r="BN28" s="213"/>
      <c r="BO28" s="213"/>
      <c r="BP28" s="213"/>
      <c r="BQ28" s="213"/>
      <c r="BR28" s="213"/>
      <c r="BS28" s="213"/>
      <c r="BT28" s="213"/>
      <c r="BU28" s="213"/>
      <c r="BV28" s="213"/>
      <c r="BW28" s="213"/>
      <c r="BX28" s="213"/>
      <c r="BY28" s="213"/>
      <c r="BZ28" s="213"/>
      <c r="CA28" s="213"/>
      <c r="CB28" s="213"/>
      <c r="CC28" s="213"/>
      <c r="CD28" s="213"/>
      <c r="CE28" s="213"/>
      <c r="CF28" s="213"/>
      <c r="CG28" s="213"/>
      <c r="CH28" s="213"/>
      <c r="CI28" s="213"/>
      <c r="CJ28" s="213"/>
      <c r="CK28" s="213"/>
      <c r="CL28" s="213"/>
      <c r="CM28" s="213"/>
      <c r="CN28" s="213"/>
      <c r="CO28" s="213"/>
      <c r="CP28" s="213"/>
      <c r="CQ28" s="213"/>
      <c r="CR28" s="213"/>
      <c r="CS28" s="213"/>
      <c r="CT28" s="213"/>
      <c r="CU28" s="213"/>
    </row>
    <row r="29" spans="1:99">
      <c r="A29" s="212"/>
      <c r="B29" s="212"/>
      <c r="C29" s="212"/>
      <c r="D29" s="212"/>
      <c r="E29" s="212"/>
      <c r="F29" s="212"/>
      <c r="G29" s="212"/>
      <c r="H29" s="212"/>
      <c r="I29" s="212"/>
      <c r="J29" s="300"/>
      <c r="K29" s="212"/>
      <c r="L29" s="212"/>
      <c r="M29" s="212"/>
      <c r="N29" s="212"/>
      <c r="O29" s="212"/>
      <c r="P29" s="213"/>
      <c r="Q29" s="213"/>
      <c r="R29" s="213"/>
      <c r="S29" s="213"/>
      <c r="T29" s="213"/>
      <c r="U29" s="213"/>
      <c r="V29" s="213"/>
      <c r="W29" s="213"/>
      <c r="X29" s="213"/>
      <c r="Y29" s="213"/>
      <c r="Z29" s="213"/>
      <c r="AA29" s="213"/>
      <c r="AB29" s="213"/>
      <c r="AC29" s="213"/>
      <c r="AD29" s="213"/>
      <c r="AE29" s="213"/>
      <c r="AF29" s="213"/>
      <c r="AG29" s="213"/>
      <c r="AH29" s="213"/>
      <c r="AI29" s="213"/>
      <c r="AJ29" s="213"/>
      <c r="AK29" s="213"/>
      <c r="AL29" s="213"/>
      <c r="AM29" s="213"/>
      <c r="AN29" s="213"/>
      <c r="AO29" s="213"/>
      <c r="AP29" s="213"/>
      <c r="AQ29" s="213"/>
      <c r="AR29" s="213"/>
      <c r="AS29" s="213"/>
      <c r="AT29" s="213"/>
      <c r="AU29" s="213"/>
      <c r="AV29" s="213"/>
      <c r="AW29" s="213"/>
      <c r="AX29" s="213"/>
      <c r="AY29" s="213"/>
      <c r="AZ29" s="213"/>
      <c r="BA29" s="213"/>
      <c r="BB29" s="213"/>
      <c r="BC29" s="213"/>
      <c r="BD29" s="213"/>
      <c r="BE29" s="213"/>
      <c r="BF29" s="213"/>
      <c r="BG29" s="213"/>
      <c r="BH29" s="213"/>
      <c r="BI29" s="213"/>
      <c r="BJ29" s="213"/>
      <c r="BK29" s="213"/>
      <c r="BL29" s="213"/>
      <c r="BM29" s="213"/>
      <c r="BN29" s="213"/>
      <c r="BO29" s="213"/>
      <c r="BP29" s="213"/>
      <c r="BQ29" s="213"/>
      <c r="BR29" s="213"/>
      <c r="BS29" s="213"/>
      <c r="BT29" s="213"/>
      <c r="BU29" s="213"/>
      <c r="BV29" s="213"/>
      <c r="BW29" s="213"/>
      <c r="BX29" s="213"/>
      <c r="BY29" s="213"/>
      <c r="BZ29" s="213"/>
      <c r="CA29" s="213"/>
      <c r="CB29" s="213"/>
      <c r="CC29" s="213"/>
      <c r="CD29" s="213"/>
      <c r="CE29" s="213"/>
      <c r="CF29" s="213"/>
      <c r="CG29" s="213"/>
      <c r="CH29" s="213"/>
      <c r="CI29" s="213"/>
      <c r="CJ29" s="213"/>
      <c r="CK29" s="213"/>
      <c r="CL29" s="213"/>
      <c r="CM29" s="213"/>
      <c r="CN29" s="213"/>
      <c r="CO29" s="213"/>
      <c r="CP29" s="213"/>
      <c r="CQ29" s="213"/>
      <c r="CR29" s="213"/>
      <c r="CS29" s="213"/>
      <c r="CT29" s="213"/>
      <c r="CU29" s="213"/>
    </row>
    <row r="30" spans="1:99">
      <c r="A30" s="212"/>
      <c r="B30" s="212"/>
      <c r="C30" s="212"/>
      <c r="D30" s="212"/>
      <c r="E30" s="212"/>
      <c r="F30" s="212"/>
      <c r="G30" s="212"/>
      <c r="H30" s="212"/>
      <c r="I30" s="212"/>
      <c r="J30" s="300"/>
      <c r="K30" s="212"/>
      <c r="L30" s="212"/>
      <c r="M30" s="212"/>
      <c r="N30" s="212"/>
      <c r="O30" s="212"/>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AQ30" s="213"/>
      <c r="AR30" s="213"/>
      <c r="AS30" s="213"/>
      <c r="AT30" s="213"/>
      <c r="AU30" s="213"/>
      <c r="AV30" s="213"/>
      <c r="AW30" s="213"/>
      <c r="AX30" s="213"/>
      <c r="AY30" s="213"/>
      <c r="AZ30" s="213"/>
      <c r="BA30" s="213"/>
      <c r="BB30" s="213"/>
      <c r="BC30" s="213"/>
      <c r="BD30" s="213"/>
      <c r="BE30" s="213"/>
      <c r="BF30" s="213"/>
      <c r="BG30" s="213"/>
      <c r="BH30" s="213"/>
      <c r="BI30" s="213"/>
      <c r="BJ30" s="213"/>
      <c r="BK30" s="213"/>
      <c r="BL30" s="213"/>
      <c r="BM30" s="213"/>
      <c r="BN30" s="213"/>
      <c r="BO30" s="213"/>
      <c r="BP30" s="213"/>
      <c r="BQ30" s="213"/>
      <c r="BR30" s="213"/>
      <c r="BS30" s="213"/>
      <c r="BT30" s="213"/>
      <c r="BU30" s="213"/>
      <c r="BV30" s="213"/>
      <c r="BW30" s="213"/>
      <c r="BX30" s="213"/>
      <c r="BY30" s="213"/>
      <c r="BZ30" s="213"/>
      <c r="CA30" s="213"/>
      <c r="CB30" s="213"/>
      <c r="CC30" s="213"/>
      <c r="CD30" s="213"/>
      <c r="CE30" s="213"/>
      <c r="CF30" s="213"/>
      <c r="CG30" s="213"/>
      <c r="CH30" s="213"/>
      <c r="CI30" s="213"/>
      <c r="CJ30" s="213"/>
      <c r="CK30" s="213"/>
      <c r="CL30" s="213"/>
      <c r="CM30" s="213"/>
      <c r="CN30" s="213"/>
      <c r="CO30" s="213"/>
      <c r="CP30" s="213"/>
      <c r="CQ30" s="213"/>
      <c r="CR30" s="213"/>
      <c r="CS30" s="213"/>
      <c r="CT30" s="213"/>
      <c r="CU30" s="213"/>
    </row>
    <row r="31" spans="1:99">
      <c r="A31" s="212"/>
      <c r="B31" s="212"/>
      <c r="C31" s="212"/>
      <c r="D31" s="212"/>
      <c r="E31" s="212"/>
      <c r="F31" s="212"/>
      <c r="G31" s="212"/>
      <c r="H31" s="212"/>
      <c r="I31" s="212"/>
      <c r="J31" s="300"/>
      <c r="K31" s="212"/>
      <c r="L31" s="212"/>
      <c r="M31" s="212"/>
      <c r="N31" s="212"/>
      <c r="O31" s="212"/>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AQ31" s="213"/>
      <c r="AR31" s="213"/>
      <c r="AS31" s="213"/>
      <c r="AT31" s="213"/>
      <c r="AU31" s="213"/>
      <c r="AV31" s="213"/>
      <c r="AW31" s="213"/>
      <c r="AX31" s="213"/>
      <c r="AY31" s="213"/>
      <c r="AZ31" s="213"/>
      <c r="BA31" s="213"/>
      <c r="BB31" s="213"/>
      <c r="BC31" s="213"/>
      <c r="BD31" s="213"/>
      <c r="BE31" s="213"/>
      <c r="BF31" s="213"/>
      <c r="BG31" s="213"/>
      <c r="BH31" s="213"/>
      <c r="BI31" s="213"/>
      <c r="BJ31" s="213"/>
      <c r="BK31" s="213"/>
      <c r="BL31" s="213"/>
      <c r="BM31" s="213"/>
      <c r="BN31" s="213"/>
      <c r="BO31" s="213"/>
      <c r="BP31" s="213"/>
      <c r="BQ31" s="213"/>
      <c r="BR31" s="213"/>
      <c r="BS31" s="213"/>
      <c r="BT31" s="213"/>
      <c r="BU31" s="213"/>
      <c r="BV31" s="213"/>
      <c r="BW31" s="213"/>
      <c r="BX31" s="213"/>
      <c r="BY31" s="213"/>
      <c r="BZ31" s="213"/>
      <c r="CA31" s="213"/>
      <c r="CB31" s="213"/>
      <c r="CC31" s="213"/>
      <c r="CD31" s="213"/>
      <c r="CE31" s="213"/>
      <c r="CF31" s="213"/>
      <c r="CG31" s="213"/>
      <c r="CH31" s="213"/>
      <c r="CI31" s="213"/>
      <c r="CJ31" s="213"/>
      <c r="CK31" s="213"/>
      <c r="CL31" s="213"/>
      <c r="CM31" s="213"/>
      <c r="CN31" s="213"/>
      <c r="CO31" s="213"/>
      <c r="CP31" s="213"/>
      <c r="CQ31" s="213"/>
      <c r="CR31" s="213"/>
      <c r="CS31" s="213"/>
      <c r="CT31" s="213"/>
      <c r="CU31" s="213"/>
    </row>
    <row r="32" spans="1:99">
      <c r="A32" s="212"/>
      <c r="B32" s="212"/>
      <c r="C32" s="212"/>
      <c r="D32" s="212"/>
      <c r="E32" s="212"/>
      <c r="F32" s="212"/>
      <c r="G32" s="212"/>
      <c r="H32" s="212"/>
      <c r="I32" s="212"/>
      <c r="J32" s="300"/>
      <c r="K32" s="212"/>
      <c r="L32" s="212"/>
      <c r="M32" s="212"/>
      <c r="N32" s="212"/>
      <c r="O32" s="212"/>
      <c r="P32" s="213"/>
      <c r="Q32" s="213"/>
      <c r="R32" s="213"/>
      <c r="S32" s="213"/>
      <c r="T32" s="213"/>
      <c r="U32" s="213"/>
      <c r="V32" s="213"/>
      <c r="W32" s="213"/>
      <c r="X32" s="213"/>
      <c r="Y32" s="213"/>
      <c r="Z32" s="213"/>
      <c r="AA32" s="213"/>
      <c r="AB32" s="213"/>
      <c r="AC32" s="213"/>
      <c r="AD32" s="213"/>
      <c r="AE32" s="213"/>
      <c r="AF32" s="213"/>
      <c r="AG32" s="213"/>
      <c r="AH32" s="213"/>
      <c r="AI32" s="213"/>
      <c r="AJ32" s="213"/>
      <c r="AK32" s="213"/>
      <c r="AL32" s="213"/>
      <c r="AM32" s="213"/>
      <c r="AN32" s="213"/>
      <c r="AO32" s="213"/>
      <c r="AP32" s="213"/>
      <c r="AQ32" s="213"/>
      <c r="AR32" s="213"/>
      <c r="AS32" s="213"/>
      <c r="AT32" s="213"/>
      <c r="AU32" s="213"/>
      <c r="AV32" s="213"/>
      <c r="AW32" s="213"/>
      <c r="AX32" s="213"/>
      <c r="AY32" s="213"/>
      <c r="AZ32" s="213"/>
      <c r="BA32" s="213"/>
      <c r="BB32" s="213"/>
      <c r="BC32" s="213"/>
      <c r="BD32" s="213"/>
      <c r="BE32" s="213"/>
      <c r="BF32" s="213"/>
      <c r="BG32" s="213"/>
      <c r="BH32" s="213"/>
      <c r="BI32" s="213"/>
      <c r="BJ32" s="213"/>
      <c r="BK32" s="213"/>
      <c r="BL32" s="213"/>
      <c r="BM32" s="213"/>
      <c r="BN32" s="213"/>
      <c r="BO32" s="213"/>
      <c r="BP32" s="213"/>
      <c r="BQ32" s="213"/>
      <c r="BR32" s="213"/>
      <c r="BS32" s="213"/>
      <c r="BT32" s="213"/>
      <c r="BU32" s="213"/>
      <c r="BV32" s="213"/>
      <c r="BW32" s="213"/>
      <c r="BX32" s="213"/>
      <c r="BY32" s="213"/>
      <c r="BZ32" s="213"/>
      <c r="CA32" s="213"/>
      <c r="CB32" s="213"/>
      <c r="CC32" s="213"/>
      <c r="CD32" s="213"/>
      <c r="CE32" s="213"/>
      <c r="CF32" s="213"/>
      <c r="CG32" s="213"/>
      <c r="CH32" s="213"/>
      <c r="CI32" s="213"/>
      <c r="CJ32" s="213"/>
      <c r="CK32" s="213"/>
      <c r="CL32" s="213"/>
      <c r="CM32" s="213"/>
      <c r="CN32" s="213"/>
      <c r="CO32" s="213"/>
      <c r="CP32" s="213"/>
      <c r="CQ32" s="213"/>
      <c r="CR32" s="213"/>
      <c r="CS32" s="213"/>
      <c r="CT32" s="213"/>
      <c r="CU32" s="213"/>
    </row>
    <row r="33" spans="1:99">
      <c r="A33" s="212"/>
      <c r="B33" s="212"/>
      <c r="C33" s="212"/>
      <c r="D33" s="212"/>
      <c r="E33" s="212"/>
      <c r="F33" s="212"/>
      <c r="G33" s="212"/>
      <c r="H33" s="212"/>
      <c r="I33" s="212"/>
      <c r="J33" s="300"/>
      <c r="K33" s="212"/>
      <c r="L33" s="212"/>
      <c r="M33" s="212"/>
      <c r="N33" s="212"/>
      <c r="O33" s="212"/>
      <c r="P33" s="213"/>
      <c r="Q33" s="213"/>
      <c r="R33" s="213"/>
      <c r="S33" s="213"/>
      <c r="T33" s="213"/>
      <c r="U33" s="213"/>
      <c r="V33" s="213"/>
      <c r="W33" s="213"/>
      <c r="X33" s="213"/>
      <c r="Y33" s="213"/>
      <c r="Z33" s="213"/>
      <c r="AA33" s="213"/>
      <c r="AB33" s="213"/>
      <c r="AC33" s="213"/>
      <c r="AD33" s="213"/>
      <c r="AE33" s="213"/>
      <c r="AF33" s="213"/>
      <c r="AG33" s="213"/>
      <c r="AH33" s="213"/>
      <c r="AI33" s="213"/>
      <c r="AJ33" s="213"/>
      <c r="AK33" s="213"/>
      <c r="AL33" s="213"/>
      <c r="AM33" s="213"/>
      <c r="AN33" s="213"/>
      <c r="AO33" s="213"/>
      <c r="AP33" s="213"/>
      <c r="AQ33" s="213"/>
      <c r="AR33" s="213"/>
      <c r="AS33" s="213"/>
      <c r="AT33" s="213"/>
      <c r="AU33" s="213"/>
      <c r="AV33" s="213"/>
      <c r="AW33" s="213"/>
      <c r="AX33" s="213"/>
      <c r="AY33" s="213"/>
      <c r="AZ33" s="213"/>
      <c r="BA33" s="213"/>
      <c r="BB33" s="213"/>
      <c r="BC33" s="213"/>
      <c r="BD33" s="213"/>
      <c r="BE33" s="213"/>
      <c r="BF33" s="213"/>
      <c r="BG33" s="213"/>
      <c r="BH33" s="213"/>
      <c r="BI33" s="213"/>
      <c r="BJ33" s="213"/>
      <c r="BK33" s="213"/>
      <c r="BL33" s="213"/>
      <c r="BM33" s="213"/>
      <c r="BN33" s="213"/>
      <c r="BO33" s="213"/>
      <c r="BP33" s="213"/>
      <c r="BQ33" s="213"/>
      <c r="BR33" s="213"/>
      <c r="BS33" s="213"/>
      <c r="BT33" s="213"/>
      <c r="BU33" s="213"/>
      <c r="BV33" s="213"/>
      <c r="BW33" s="213"/>
      <c r="BX33" s="213"/>
      <c r="BY33" s="213"/>
      <c r="BZ33" s="213"/>
      <c r="CA33" s="213"/>
      <c r="CB33" s="213"/>
      <c r="CC33" s="213"/>
      <c r="CD33" s="213"/>
      <c r="CE33" s="213"/>
      <c r="CF33" s="213"/>
      <c r="CG33" s="213"/>
      <c r="CH33" s="213"/>
      <c r="CI33" s="213"/>
      <c r="CJ33" s="213"/>
      <c r="CK33" s="213"/>
      <c r="CL33" s="213"/>
      <c r="CM33" s="213"/>
      <c r="CN33" s="213"/>
      <c r="CO33" s="213"/>
      <c r="CP33" s="213"/>
      <c r="CQ33" s="213"/>
      <c r="CR33" s="213"/>
      <c r="CS33" s="213"/>
      <c r="CT33" s="213"/>
      <c r="CU33" s="213"/>
    </row>
    <row r="34" spans="1:99">
      <c r="A34" s="212"/>
      <c r="B34" s="212"/>
      <c r="C34" s="212"/>
      <c r="D34" s="212"/>
      <c r="E34" s="212"/>
      <c r="F34" s="212"/>
      <c r="G34" s="212"/>
      <c r="H34" s="212"/>
      <c r="I34" s="212"/>
      <c r="J34" s="300"/>
      <c r="K34" s="212"/>
      <c r="L34" s="212"/>
      <c r="M34" s="212"/>
      <c r="N34" s="212"/>
      <c r="O34" s="212"/>
      <c r="P34" s="213"/>
      <c r="Q34" s="213"/>
      <c r="R34" s="213"/>
      <c r="S34" s="213"/>
      <c r="T34" s="213"/>
      <c r="U34" s="213"/>
      <c r="V34" s="213"/>
      <c r="W34" s="213"/>
      <c r="X34" s="213"/>
      <c r="Y34" s="213"/>
      <c r="Z34" s="213"/>
      <c r="AA34" s="213"/>
      <c r="AB34" s="213"/>
      <c r="AC34" s="213"/>
      <c r="AD34" s="213"/>
      <c r="AE34" s="213"/>
      <c r="AF34" s="213"/>
      <c r="AG34" s="213"/>
      <c r="AH34" s="213"/>
      <c r="AI34" s="213"/>
      <c r="AJ34" s="213"/>
      <c r="AK34" s="213"/>
      <c r="AL34" s="213"/>
      <c r="AM34" s="213"/>
      <c r="AN34" s="213"/>
      <c r="AO34" s="213"/>
      <c r="AP34" s="213"/>
      <c r="AQ34" s="213"/>
      <c r="AR34" s="213"/>
      <c r="AS34" s="213"/>
      <c r="AT34" s="213"/>
      <c r="AU34" s="213"/>
      <c r="AV34" s="213"/>
      <c r="AW34" s="213"/>
      <c r="AX34" s="213"/>
      <c r="AY34" s="213"/>
      <c r="AZ34" s="213"/>
      <c r="BA34" s="213"/>
      <c r="BB34" s="213"/>
      <c r="BC34" s="213"/>
      <c r="BD34" s="213"/>
      <c r="BE34" s="213"/>
      <c r="BF34" s="213"/>
      <c r="BG34" s="213"/>
      <c r="BH34" s="213"/>
      <c r="BI34" s="213"/>
      <c r="BJ34" s="213"/>
      <c r="BK34" s="213"/>
      <c r="BL34" s="213"/>
      <c r="BM34" s="213"/>
      <c r="BN34" s="213"/>
      <c r="BO34" s="213"/>
      <c r="BP34" s="213"/>
      <c r="BQ34" s="213"/>
      <c r="BR34" s="213"/>
      <c r="BS34" s="213"/>
      <c r="BT34" s="213"/>
      <c r="BU34" s="213"/>
      <c r="BV34" s="213"/>
      <c r="BW34" s="213"/>
      <c r="BX34" s="213"/>
      <c r="BY34" s="213"/>
      <c r="BZ34" s="213"/>
      <c r="CA34" s="213"/>
      <c r="CB34" s="213"/>
      <c r="CC34" s="213"/>
      <c r="CD34" s="213"/>
      <c r="CE34" s="213"/>
      <c r="CF34" s="213"/>
      <c r="CG34" s="213"/>
      <c r="CH34" s="213"/>
      <c r="CI34" s="213"/>
      <c r="CJ34" s="213"/>
      <c r="CK34" s="213"/>
      <c r="CL34" s="213"/>
      <c r="CM34" s="213"/>
      <c r="CN34" s="213"/>
      <c r="CO34" s="213"/>
      <c r="CP34" s="213"/>
      <c r="CQ34" s="213"/>
      <c r="CR34" s="213"/>
      <c r="CS34" s="213"/>
      <c r="CT34" s="213"/>
      <c r="CU34" s="213"/>
    </row>
    <row r="35" spans="1:99">
      <c r="A35" s="212"/>
      <c r="B35" s="212" t="s">
        <v>0</v>
      </c>
      <c r="C35" s="212"/>
      <c r="D35" s="212"/>
      <c r="E35" s="212"/>
      <c r="F35" s="212"/>
      <c r="G35" s="212"/>
      <c r="H35" s="212"/>
      <c r="I35" s="212"/>
      <c r="J35" s="300"/>
      <c r="K35" s="212"/>
      <c r="L35" s="212"/>
      <c r="M35" s="212"/>
      <c r="N35" s="212"/>
      <c r="O35" s="212"/>
      <c r="P35" s="213"/>
      <c r="Q35" s="213"/>
      <c r="R35" s="213"/>
      <c r="S35" s="213"/>
      <c r="T35" s="213"/>
      <c r="U35" s="213"/>
      <c r="V35" s="213"/>
      <c r="W35" s="213"/>
      <c r="X35" s="213"/>
      <c r="Y35" s="213"/>
      <c r="Z35" s="213"/>
      <c r="AA35" s="213"/>
      <c r="AB35" s="213"/>
      <c r="AC35" s="213"/>
      <c r="AD35" s="213"/>
      <c r="AE35" s="213"/>
      <c r="AF35" s="213"/>
      <c r="AG35" s="213"/>
      <c r="AH35" s="213"/>
      <c r="AI35" s="213"/>
      <c r="AJ35" s="213"/>
      <c r="AK35" s="213"/>
      <c r="AL35" s="213"/>
      <c r="AM35" s="213"/>
      <c r="AN35" s="213"/>
      <c r="AO35" s="213"/>
      <c r="AP35" s="213"/>
      <c r="AQ35" s="213"/>
      <c r="AR35" s="213"/>
      <c r="AS35" s="213"/>
      <c r="AT35" s="213"/>
      <c r="AU35" s="213"/>
      <c r="AV35" s="213"/>
      <c r="AW35" s="213"/>
      <c r="AX35" s="213"/>
      <c r="AY35" s="213"/>
      <c r="AZ35" s="213"/>
      <c r="BA35" s="213"/>
      <c r="BB35" s="213"/>
      <c r="BC35" s="213"/>
      <c r="BD35" s="213"/>
      <c r="BE35" s="213"/>
      <c r="BF35" s="213"/>
      <c r="BG35" s="213"/>
      <c r="BH35" s="213"/>
      <c r="BI35" s="213"/>
      <c r="BJ35" s="213"/>
      <c r="BK35" s="213"/>
      <c r="BL35" s="213"/>
      <c r="BM35" s="213"/>
      <c r="BN35" s="213"/>
      <c r="BO35" s="213"/>
      <c r="BP35" s="213"/>
      <c r="BQ35" s="213"/>
      <c r="BR35" s="213"/>
      <c r="BS35" s="213"/>
      <c r="BT35" s="213"/>
      <c r="BU35" s="213"/>
      <c r="BV35" s="213"/>
      <c r="BW35" s="213"/>
      <c r="BX35" s="213"/>
      <c r="BY35" s="213"/>
      <c r="BZ35" s="213"/>
      <c r="CA35" s="213"/>
      <c r="CB35" s="213"/>
      <c r="CC35" s="213"/>
      <c r="CD35" s="213"/>
      <c r="CE35" s="213"/>
      <c r="CF35" s="213"/>
      <c r="CG35" s="213"/>
      <c r="CH35" s="213"/>
      <c r="CI35" s="213"/>
      <c r="CJ35" s="213"/>
      <c r="CK35" s="213"/>
      <c r="CL35" s="213"/>
      <c r="CM35" s="213"/>
      <c r="CN35" s="213"/>
      <c r="CO35" s="213"/>
      <c r="CP35" s="213"/>
      <c r="CQ35" s="213"/>
      <c r="CR35" s="213"/>
      <c r="CS35" s="213"/>
      <c r="CT35" s="213"/>
      <c r="CU35" s="213"/>
    </row>
    <row r="36" spans="1:99">
      <c r="A36" s="212"/>
      <c r="B36" s="212"/>
      <c r="C36" s="212"/>
      <c r="D36" s="212"/>
      <c r="E36" s="212"/>
      <c r="F36" s="212"/>
      <c r="G36" s="212"/>
      <c r="H36" s="212"/>
      <c r="I36" s="212"/>
      <c r="J36" s="300"/>
      <c r="K36" s="212"/>
      <c r="L36" s="212"/>
      <c r="M36" s="212"/>
      <c r="N36" s="212"/>
      <c r="O36" s="212"/>
      <c r="P36" s="213"/>
      <c r="Q36" s="213"/>
      <c r="R36" s="213"/>
      <c r="S36" s="213"/>
      <c r="T36" s="213"/>
      <c r="U36" s="213"/>
      <c r="V36" s="213"/>
      <c r="W36" s="213"/>
      <c r="X36" s="213"/>
      <c r="Y36" s="213"/>
      <c r="Z36" s="213"/>
      <c r="AA36" s="213"/>
      <c r="AB36" s="213"/>
      <c r="AC36" s="213"/>
      <c r="AD36" s="213"/>
      <c r="AE36" s="213"/>
      <c r="AF36" s="213"/>
      <c r="AG36" s="213"/>
      <c r="AH36" s="213"/>
      <c r="AI36" s="213"/>
      <c r="AJ36" s="213"/>
      <c r="AK36" s="213"/>
      <c r="AL36" s="213"/>
      <c r="AM36" s="213"/>
      <c r="AN36" s="213"/>
      <c r="AO36" s="213"/>
      <c r="AP36" s="213"/>
      <c r="AQ36" s="213"/>
      <c r="AR36" s="213"/>
      <c r="AS36" s="213"/>
      <c r="AT36" s="213"/>
      <c r="AU36" s="213"/>
      <c r="AV36" s="213"/>
      <c r="AW36" s="213"/>
      <c r="AX36" s="213"/>
      <c r="AY36" s="213"/>
      <c r="AZ36" s="213"/>
      <c r="BA36" s="213"/>
      <c r="BB36" s="213"/>
      <c r="BC36" s="213"/>
      <c r="BD36" s="213"/>
      <c r="BE36" s="213"/>
      <c r="BF36" s="213"/>
      <c r="BG36" s="213"/>
      <c r="BH36" s="213"/>
      <c r="BI36" s="213"/>
      <c r="BJ36" s="213"/>
      <c r="BK36" s="213"/>
      <c r="BL36" s="213"/>
      <c r="BM36" s="213"/>
      <c r="BN36" s="213"/>
      <c r="BO36" s="213"/>
      <c r="BP36" s="213"/>
      <c r="BQ36" s="213"/>
      <c r="BR36" s="213"/>
      <c r="BS36" s="213"/>
      <c r="BT36" s="213"/>
      <c r="BU36" s="213"/>
      <c r="BV36" s="213"/>
      <c r="BW36" s="213"/>
      <c r="BX36" s="213"/>
      <c r="BY36" s="213"/>
      <c r="BZ36" s="213"/>
      <c r="CA36" s="213"/>
      <c r="CB36" s="213"/>
      <c r="CC36" s="213"/>
      <c r="CD36" s="213"/>
      <c r="CE36" s="213"/>
      <c r="CF36" s="213"/>
      <c r="CG36" s="213"/>
      <c r="CH36" s="213"/>
      <c r="CI36" s="213"/>
      <c r="CJ36" s="213"/>
      <c r="CK36" s="213"/>
      <c r="CL36" s="213"/>
      <c r="CM36" s="213"/>
      <c r="CN36" s="213"/>
      <c r="CO36" s="213"/>
      <c r="CP36" s="213"/>
      <c r="CQ36" s="213"/>
      <c r="CR36" s="213"/>
      <c r="CS36" s="213"/>
      <c r="CT36" s="213"/>
      <c r="CU36" s="213"/>
    </row>
    <row r="37" spans="1:99">
      <c r="A37" s="212"/>
      <c r="B37" s="212"/>
      <c r="C37" s="212"/>
      <c r="D37" s="212"/>
      <c r="E37" s="212"/>
      <c r="F37" s="212"/>
      <c r="G37" s="212"/>
      <c r="H37" s="212"/>
      <c r="I37" s="212"/>
      <c r="J37" s="300"/>
      <c r="K37" s="212"/>
      <c r="L37" s="212"/>
      <c r="M37" s="212"/>
      <c r="N37" s="212"/>
      <c r="O37" s="212"/>
      <c r="P37" s="213"/>
      <c r="Q37" s="213"/>
      <c r="R37" s="213"/>
      <c r="S37" s="213"/>
      <c r="T37" s="213"/>
      <c r="U37" s="213"/>
      <c r="V37" s="213"/>
      <c r="W37" s="213"/>
      <c r="X37" s="213"/>
      <c r="Y37" s="213"/>
      <c r="Z37" s="213"/>
      <c r="AA37" s="213"/>
      <c r="AB37" s="213"/>
      <c r="AC37" s="213"/>
      <c r="AD37" s="213"/>
      <c r="AE37" s="213"/>
      <c r="AF37" s="213"/>
      <c r="AG37" s="213"/>
      <c r="AH37" s="213"/>
      <c r="AI37" s="213"/>
      <c r="AJ37" s="213"/>
      <c r="AK37" s="213"/>
      <c r="AL37" s="213"/>
      <c r="AM37" s="213"/>
      <c r="AN37" s="213"/>
      <c r="AO37" s="213"/>
      <c r="AP37" s="213"/>
      <c r="AQ37" s="213"/>
      <c r="AR37" s="213"/>
      <c r="AS37" s="213"/>
      <c r="AT37" s="213"/>
      <c r="AU37" s="213"/>
      <c r="AV37" s="213"/>
      <c r="AW37" s="213"/>
      <c r="AX37" s="213"/>
      <c r="AY37" s="213"/>
      <c r="AZ37" s="213"/>
      <c r="BA37" s="213"/>
      <c r="BB37" s="213"/>
      <c r="BC37" s="213"/>
      <c r="BD37" s="213"/>
      <c r="BE37" s="213"/>
      <c r="BF37" s="213"/>
      <c r="BG37" s="213"/>
      <c r="BH37" s="213"/>
      <c r="BI37" s="213"/>
      <c r="BJ37" s="213"/>
      <c r="BK37" s="213"/>
      <c r="BL37" s="213"/>
      <c r="BM37" s="213"/>
      <c r="BN37" s="213"/>
      <c r="BO37" s="213"/>
      <c r="BP37" s="213"/>
      <c r="BQ37" s="213"/>
      <c r="BR37" s="213"/>
      <c r="BS37" s="213"/>
      <c r="BT37" s="213"/>
      <c r="BU37" s="213"/>
      <c r="BV37" s="213"/>
      <c r="BW37" s="213"/>
      <c r="BX37" s="213"/>
      <c r="BY37" s="213"/>
      <c r="BZ37" s="213"/>
      <c r="CA37" s="213"/>
      <c r="CB37" s="213"/>
      <c r="CC37" s="213"/>
      <c r="CD37" s="213"/>
      <c r="CE37" s="213"/>
      <c r="CF37" s="213"/>
      <c r="CG37" s="213"/>
      <c r="CH37" s="213"/>
      <c r="CI37" s="213"/>
      <c r="CJ37" s="213"/>
      <c r="CK37" s="213"/>
      <c r="CL37" s="213"/>
      <c r="CM37" s="213"/>
      <c r="CN37" s="213"/>
      <c r="CO37" s="213"/>
      <c r="CP37" s="213"/>
      <c r="CQ37" s="213"/>
      <c r="CR37" s="213"/>
      <c r="CS37" s="213"/>
      <c r="CT37" s="213"/>
      <c r="CU37" s="213"/>
    </row>
    <row r="38" spans="1:99">
      <c r="A38" s="212"/>
      <c r="B38" s="212"/>
      <c r="C38" s="212"/>
      <c r="D38" s="212"/>
      <c r="E38" s="212"/>
      <c r="F38" s="212"/>
      <c r="G38" s="212"/>
      <c r="H38" s="212"/>
      <c r="I38" s="212"/>
      <c r="J38" s="300"/>
      <c r="K38" s="212"/>
      <c r="L38" s="212"/>
      <c r="M38" s="212"/>
      <c r="N38" s="212"/>
      <c r="O38" s="212"/>
      <c r="P38" s="213"/>
      <c r="Q38" s="213"/>
      <c r="R38" s="213"/>
      <c r="S38" s="213"/>
      <c r="T38" s="213"/>
      <c r="U38" s="213"/>
      <c r="V38" s="213"/>
      <c r="W38" s="213"/>
      <c r="X38" s="213"/>
      <c r="Y38" s="213"/>
      <c r="Z38" s="213"/>
      <c r="AA38" s="213"/>
      <c r="AB38" s="213"/>
      <c r="AC38" s="213"/>
      <c r="AD38" s="213"/>
      <c r="AE38" s="213"/>
      <c r="AF38" s="213"/>
      <c r="AG38" s="213"/>
      <c r="AH38" s="213"/>
      <c r="AI38" s="213"/>
      <c r="AJ38" s="213"/>
      <c r="AK38" s="213"/>
      <c r="AL38" s="213"/>
      <c r="AM38" s="213"/>
      <c r="AN38" s="213"/>
      <c r="AO38" s="213"/>
      <c r="AP38" s="213"/>
      <c r="AQ38" s="213"/>
      <c r="AR38" s="213"/>
      <c r="AS38" s="213"/>
      <c r="AT38" s="213"/>
      <c r="AU38" s="213"/>
      <c r="AV38" s="213"/>
      <c r="AW38" s="213"/>
      <c r="AX38" s="213"/>
      <c r="AY38" s="213"/>
      <c r="AZ38" s="213"/>
      <c r="BA38" s="213"/>
      <c r="BB38" s="213"/>
      <c r="BC38" s="213"/>
      <c r="BD38" s="213"/>
      <c r="BE38" s="213"/>
      <c r="BF38" s="213"/>
      <c r="BG38" s="213"/>
      <c r="BH38" s="213"/>
      <c r="BI38" s="213"/>
      <c r="BJ38" s="213"/>
      <c r="BK38" s="213"/>
      <c r="BL38" s="213"/>
      <c r="BM38" s="213"/>
      <c r="BN38" s="213"/>
      <c r="BO38" s="213"/>
      <c r="BP38" s="213"/>
      <c r="BQ38" s="213"/>
      <c r="BR38" s="213"/>
      <c r="BS38" s="213"/>
      <c r="BT38" s="213"/>
      <c r="BU38" s="213"/>
      <c r="BV38" s="213"/>
      <c r="BW38" s="213"/>
      <c r="BX38" s="213"/>
      <c r="BY38" s="213"/>
      <c r="BZ38" s="213"/>
      <c r="CA38" s="213"/>
      <c r="CB38" s="213"/>
      <c r="CC38" s="213"/>
      <c r="CD38" s="213"/>
      <c r="CE38" s="213"/>
      <c r="CF38" s="213"/>
      <c r="CG38" s="213"/>
      <c r="CH38" s="213"/>
      <c r="CI38" s="213"/>
      <c r="CJ38" s="213"/>
      <c r="CK38" s="213"/>
      <c r="CL38" s="213"/>
      <c r="CM38" s="213"/>
      <c r="CN38" s="213"/>
      <c r="CO38" s="213"/>
      <c r="CP38" s="213"/>
      <c r="CQ38" s="213"/>
      <c r="CR38" s="213"/>
      <c r="CS38" s="213"/>
      <c r="CT38" s="213"/>
      <c r="CU38" s="213"/>
    </row>
    <row r="39" spans="1:99">
      <c r="A39" s="212"/>
      <c r="B39" s="212"/>
      <c r="C39" s="212"/>
      <c r="D39" s="212"/>
      <c r="E39" s="212"/>
      <c r="F39" s="212"/>
      <c r="G39" s="212"/>
      <c r="H39" s="212"/>
      <c r="I39" s="212"/>
      <c r="J39" s="300"/>
      <c r="K39" s="212"/>
      <c r="L39" s="212"/>
      <c r="M39" s="212"/>
      <c r="N39" s="212"/>
      <c r="O39" s="212"/>
      <c r="P39" s="213"/>
      <c r="Q39" s="213"/>
      <c r="R39" s="213"/>
      <c r="S39" s="213"/>
      <c r="T39" s="213"/>
      <c r="U39" s="213"/>
      <c r="V39" s="213"/>
      <c r="W39" s="213"/>
      <c r="X39" s="213"/>
      <c r="Y39" s="213"/>
      <c r="Z39" s="213"/>
      <c r="AA39" s="213"/>
      <c r="AB39" s="213"/>
      <c r="AC39" s="213"/>
      <c r="AD39" s="213"/>
      <c r="AE39" s="213"/>
      <c r="AF39" s="213"/>
      <c r="AG39" s="213"/>
      <c r="AH39" s="213"/>
      <c r="AI39" s="213"/>
      <c r="AJ39" s="213"/>
      <c r="AK39" s="213"/>
      <c r="AL39" s="213"/>
      <c r="AM39" s="213"/>
      <c r="AN39" s="213"/>
      <c r="AO39" s="213"/>
      <c r="AP39" s="213"/>
      <c r="AQ39" s="213"/>
      <c r="AR39" s="213"/>
      <c r="AS39" s="213"/>
      <c r="AT39" s="213"/>
      <c r="AU39" s="213"/>
      <c r="AV39" s="213"/>
      <c r="AW39" s="213"/>
      <c r="AX39" s="213"/>
      <c r="AY39" s="213"/>
      <c r="AZ39" s="213"/>
      <c r="BA39" s="213"/>
      <c r="BB39" s="213"/>
      <c r="BC39" s="213"/>
      <c r="BD39" s="213"/>
      <c r="BE39" s="213"/>
      <c r="BF39" s="213"/>
      <c r="BG39" s="213"/>
      <c r="BH39" s="213"/>
      <c r="BI39" s="213"/>
      <c r="BJ39" s="213"/>
      <c r="BK39" s="213"/>
      <c r="BL39" s="213"/>
      <c r="BM39" s="213"/>
      <c r="BN39" s="213"/>
      <c r="BO39" s="213"/>
      <c r="BP39" s="213"/>
      <c r="BQ39" s="213"/>
      <c r="BR39" s="213"/>
      <c r="BS39" s="213"/>
      <c r="BT39" s="213"/>
      <c r="BU39" s="213"/>
      <c r="BV39" s="213"/>
      <c r="BW39" s="213"/>
      <c r="BX39" s="213"/>
      <c r="BY39" s="213"/>
      <c r="BZ39" s="213"/>
      <c r="CA39" s="213"/>
      <c r="CB39" s="213"/>
      <c r="CC39" s="213"/>
      <c r="CD39" s="213"/>
      <c r="CE39" s="213"/>
      <c r="CF39" s="213"/>
      <c r="CG39" s="213"/>
      <c r="CH39" s="213"/>
      <c r="CI39" s="213"/>
      <c r="CJ39" s="213"/>
      <c r="CK39" s="213"/>
      <c r="CL39" s="213"/>
      <c r="CM39" s="213"/>
      <c r="CN39" s="213"/>
      <c r="CO39" s="213"/>
      <c r="CP39" s="213"/>
      <c r="CQ39" s="213"/>
      <c r="CR39" s="213"/>
      <c r="CS39" s="213"/>
      <c r="CT39" s="213"/>
      <c r="CU39" s="213"/>
    </row>
    <row r="40" spans="1:99">
      <c r="A40" s="212"/>
      <c r="B40" s="212"/>
      <c r="C40" s="212"/>
      <c r="D40" s="212"/>
      <c r="E40" s="212"/>
      <c r="F40" s="212"/>
      <c r="G40" s="212"/>
      <c r="H40" s="212"/>
      <c r="I40" s="212"/>
      <c r="J40" s="300"/>
      <c r="K40" s="212"/>
      <c r="L40" s="212"/>
      <c r="M40" s="212"/>
      <c r="N40" s="212"/>
      <c r="O40" s="212"/>
      <c r="P40" s="213"/>
      <c r="Q40" s="213"/>
      <c r="R40" s="213"/>
      <c r="S40" s="213"/>
      <c r="T40" s="213"/>
      <c r="U40" s="213"/>
      <c r="V40" s="213"/>
      <c r="W40" s="213"/>
      <c r="X40" s="213"/>
      <c r="Y40" s="213"/>
      <c r="Z40" s="213"/>
      <c r="AA40" s="213"/>
      <c r="AB40" s="213"/>
      <c r="AC40" s="213"/>
      <c r="AD40" s="213"/>
      <c r="AE40" s="213"/>
      <c r="AF40" s="213"/>
      <c r="AG40" s="213"/>
      <c r="AH40" s="213"/>
      <c r="AI40" s="213"/>
      <c r="AJ40" s="213"/>
      <c r="AK40" s="213"/>
      <c r="AL40" s="213"/>
      <c r="AM40" s="213"/>
      <c r="AN40" s="213"/>
      <c r="AO40" s="213"/>
      <c r="AP40" s="213"/>
      <c r="AQ40" s="213"/>
      <c r="AR40" s="213"/>
      <c r="AS40" s="213"/>
      <c r="AT40" s="213"/>
      <c r="AU40" s="213"/>
      <c r="AV40" s="213"/>
      <c r="AW40" s="213"/>
      <c r="AX40" s="213"/>
      <c r="AY40" s="213"/>
      <c r="AZ40" s="213"/>
      <c r="BA40" s="213"/>
      <c r="BB40" s="213"/>
      <c r="BC40" s="213"/>
      <c r="BD40" s="213"/>
      <c r="BE40" s="213"/>
      <c r="BF40" s="213"/>
      <c r="BG40" s="213"/>
      <c r="BH40" s="213"/>
      <c r="BI40" s="213"/>
      <c r="BJ40" s="213"/>
      <c r="BK40" s="213"/>
      <c r="BL40" s="213"/>
      <c r="BM40" s="213"/>
      <c r="BN40" s="213"/>
      <c r="BO40" s="213"/>
      <c r="BP40" s="213"/>
      <c r="BQ40" s="213"/>
      <c r="BR40" s="213"/>
      <c r="BS40" s="213"/>
      <c r="BT40" s="213"/>
      <c r="BU40" s="213"/>
      <c r="BV40" s="213"/>
      <c r="BW40" s="213"/>
      <c r="BX40" s="213"/>
      <c r="BY40" s="213"/>
      <c r="BZ40" s="213"/>
      <c r="CA40" s="213"/>
      <c r="CB40" s="213"/>
      <c r="CC40" s="213"/>
      <c r="CD40" s="213"/>
      <c r="CE40" s="213"/>
      <c r="CF40" s="213"/>
      <c r="CG40" s="213"/>
      <c r="CH40" s="213"/>
      <c r="CI40" s="213"/>
      <c r="CJ40" s="213"/>
      <c r="CK40" s="213"/>
      <c r="CL40" s="213"/>
      <c r="CM40" s="213"/>
      <c r="CN40" s="213"/>
      <c r="CO40" s="213"/>
      <c r="CP40" s="213"/>
      <c r="CQ40" s="213"/>
      <c r="CR40" s="213"/>
      <c r="CS40" s="213"/>
      <c r="CT40" s="213"/>
      <c r="CU40" s="213"/>
    </row>
    <row r="41" spans="1:99">
      <c r="A41" s="212"/>
      <c r="B41" s="212"/>
      <c r="C41" s="212"/>
      <c r="D41" s="212"/>
      <c r="E41" s="212"/>
      <c r="F41" s="212"/>
      <c r="G41" s="212"/>
      <c r="H41" s="212"/>
      <c r="I41" s="212"/>
      <c r="J41" s="300"/>
      <c r="K41" s="212"/>
      <c r="L41" s="212"/>
      <c r="M41" s="212"/>
      <c r="N41" s="212"/>
      <c r="O41" s="212"/>
      <c r="P41" s="213"/>
      <c r="Q41" s="213"/>
      <c r="R41" s="213"/>
      <c r="S41" s="213"/>
      <c r="T41" s="213"/>
      <c r="U41" s="213"/>
      <c r="V41" s="213"/>
      <c r="W41" s="213"/>
      <c r="X41" s="213"/>
      <c r="Y41" s="213"/>
      <c r="Z41" s="213"/>
      <c r="AA41" s="213"/>
      <c r="AB41" s="213"/>
      <c r="AC41" s="213"/>
      <c r="AD41" s="213"/>
      <c r="AE41" s="213"/>
      <c r="AF41" s="213"/>
      <c r="AG41" s="213"/>
      <c r="AH41" s="213"/>
      <c r="AI41" s="213"/>
      <c r="AJ41" s="213"/>
      <c r="AK41" s="213"/>
      <c r="AL41" s="213"/>
      <c r="AM41" s="213"/>
      <c r="AN41" s="213"/>
      <c r="AO41" s="213"/>
      <c r="AP41" s="213"/>
      <c r="AQ41" s="213"/>
      <c r="AR41" s="213"/>
      <c r="AS41" s="213"/>
      <c r="AT41" s="213"/>
      <c r="AU41" s="213"/>
      <c r="AV41" s="213"/>
      <c r="AW41" s="213"/>
      <c r="AX41" s="213"/>
      <c r="AY41" s="213"/>
      <c r="AZ41" s="213"/>
      <c r="BA41" s="213"/>
      <c r="BB41" s="213"/>
      <c r="BC41" s="213"/>
      <c r="BD41" s="213"/>
      <c r="BE41" s="213"/>
      <c r="BF41" s="213"/>
      <c r="BG41" s="213"/>
      <c r="BH41" s="213"/>
      <c r="BI41" s="213"/>
      <c r="BJ41" s="213"/>
      <c r="BK41" s="213"/>
      <c r="BL41" s="213"/>
      <c r="BM41" s="213"/>
      <c r="BN41" s="213"/>
      <c r="BO41" s="213"/>
      <c r="BP41" s="213"/>
      <c r="BQ41" s="213"/>
      <c r="BR41" s="213"/>
      <c r="BS41" s="213"/>
      <c r="BT41" s="213"/>
      <c r="BU41" s="213"/>
      <c r="BV41" s="213"/>
      <c r="BW41" s="213"/>
      <c r="BX41" s="213"/>
      <c r="BY41" s="213"/>
      <c r="BZ41" s="213"/>
      <c r="CA41" s="213"/>
      <c r="CB41" s="213"/>
      <c r="CC41" s="213"/>
      <c r="CD41" s="213"/>
      <c r="CE41" s="213"/>
      <c r="CF41" s="213"/>
      <c r="CG41" s="213"/>
      <c r="CH41" s="213"/>
      <c r="CI41" s="213"/>
      <c r="CJ41" s="213"/>
      <c r="CK41" s="213"/>
      <c r="CL41" s="213"/>
      <c r="CM41" s="213"/>
      <c r="CN41" s="213"/>
      <c r="CO41" s="213"/>
      <c r="CP41" s="213"/>
      <c r="CQ41" s="213"/>
      <c r="CR41" s="213"/>
      <c r="CS41" s="213"/>
      <c r="CT41" s="213"/>
      <c r="CU41" s="213"/>
    </row>
    <row r="42" spans="1:99">
      <c r="A42" s="212"/>
      <c r="B42" s="212"/>
      <c r="C42" s="212"/>
      <c r="D42" s="212"/>
      <c r="E42" s="212"/>
      <c r="F42" s="212"/>
      <c r="G42" s="212"/>
      <c r="H42" s="212"/>
      <c r="I42" s="212"/>
      <c r="J42" s="300"/>
      <c r="K42" s="212"/>
      <c r="L42" s="212"/>
      <c r="M42" s="212"/>
      <c r="N42" s="212"/>
      <c r="O42" s="212"/>
      <c r="P42" s="213"/>
      <c r="Q42" s="213"/>
      <c r="R42" s="213"/>
      <c r="S42" s="213"/>
      <c r="T42" s="213"/>
      <c r="U42" s="213"/>
      <c r="V42" s="213"/>
      <c r="W42" s="213"/>
      <c r="X42" s="213"/>
      <c r="Y42" s="213"/>
      <c r="Z42" s="213"/>
      <c r="AA42" s="213"/>
      <c r="AB42" s="213"/>
      <c r="AC42" s="213"/>
      <c r="AD42" s="213"/>
      <c r="AE42" s="213"/>
      <c r="AF42" s="213"/>
      <c r="AG42" s="213"/>
      <c r="AH42" s="213"/>
      <c r="AI42" s="213"/>
      <c r="AJ42" s="213"/>
      <c r="AK42" s="213"/>
      <c r="AL42" s="213"/>
      <c r="AM42" s="213"/>
      <c r="AN42" s="213"/>
      <c r="AO42" s="213"/>
      <c r="AP42" s="213"/>
      <c r="AQ42" s="213"/>
      <c r="AR42" s="213"/>
      <c r="AS42" s="213"/>
      <c r="AT42" s="213"/>
      <c r="AU42" s="213"/>
      <c r="AV42" s="213"/>
      <c r="AW42" s="213"/>
      <c r="AX42" s="213"/>
      <c r="AY42" s="213"/>
      <c r="AZ42" s="213"/>
      <c r="BA42" s="213"/>
      <c r="BB42" s="213"/>
      <c r="BC42" s="213"/>
      <c r="BD42" s="213"/>
      <c r="BE42" s="213"/>
      <c r="BF42" s="213"/>
      <c r="BG42" s="213"/>
      <c r="BH42" s="213"/>
      <c r="BI42" s="213"/>
      <c r="BJ42" s="213"/>
      <c r="BK42" s="213"/>
      <c r="BL42" s="213"/>
      <c r="BM42" s="213"/>
      <c r="BN42" s="213"/>
      <c r="BO42" s="213"/>
      <c r="BP42" s="213"/>
      <c r="BQ42" s="213"/>
      <c r="BR42" s="213"/>
      <c r="BS42" s="213"/>
      <c r="BT42" s="213"/>
      <c r="BU42" s="213"/>
      <c r="BV42" s="213"/>
      <c r="BW42" s="213"/>
      <c r="BX42" s="213"/>
      <c r="BY42" s="213"/>
      <c r="BZ42" s="213"/>
      <c r="CA42" s="213"/>
      <c r="CB42" s="213"/>
      <c r="CC42" s="213"/>
      <c r="CD42" s="213"/>
      <c r="CE42" s="213"/>
      <c r="CF42" s="213"/>
      <c r="CG42" s="213"/>
      <c r="CH42" s="213"/>
      <c r="CI42" s="213"/>
      <c r="CJ42" s="213"/>
      <c r="CK42" s="213"/>
      <c r="CL42" s="213"/>
      <c r="CM42" s="213"/>
      <c r="CN42" s="213"/>
      <c r="CO42" s="213"/>
      <c r="CP42" s="213"/>
      <c r="CQ42" s="213"/>
      <c r="CR42" s="213"/>
      <c r="CS42" s="213"/>
      <c r="CT42" s="213"/>
      <c r="CU42" s="213"/>
    </row>
    <row r="43" spans="1:99">
      <c r="A43" s="212"/>
      <c r="B43" s="212"/>
      <c r="C43" s="212"/>
      <c r="D43" s="212"/>
      <c r="E43" s="212"/>
      <c r="F43" s="212"/>
      <c r="G43" s="212"/>
      <c r="H43" s="212"/>
      <c r="I43" s="212"/>
      <c r="J43" s="300"/>
      <c r="K43" s="212"/>
      <c r="L43" s="212"/>
      <c r="M43" s="212"/>
      <c r="N43" s="212"/>
      <c r="O43" s="212"/>
      <c r="P43" s="213"/>
      <c r="Q43" s="213"/>
      <c r="R43" s="213"/>
      <c r="S43" s="213"/>
      <c r="T43" s="213"/>
      <c r="U43" s="213"/>
      <c r="V43" s="213"/>
      <c r="W43" s="213"/>
      <c r="X43" s="213"/>
      <c r="Y43" s="213"/>
      <c r="Z43" s="213"/>
      <c r="AA43" s="213"/>
      <c r="AB43" s="213"/>
      <c r="AC43" s="213"/>
      <c r="AD43" s="213"/>
      <c r="AE43" s="213"/>
      <c r="AF43" s="213"/>
      <c r="AG43" s="213"/>
      <c r="AH43" s="213"/>
      <c r="AI43" s="213"/>
      <c r="AJ43" s="213"/>
      <c r="AK43" s="213"/>
      <c r="AL43" s="213"/>
      <c r="AM43" s="213"/>
      <c r="AN43" s="213"/>
      <c r="AO43" s="213"/>
      <c r="AP43" s="213"/>
      <c r="AQ43" s="213"/>
      <c r="AR43" s="213"/>
      <c r="AS43" s="213"/>
      <c r="AT43" s="213"/>
      <c r="AU43" s="213"/>
      <c r="AV43" s="213"/>
      <c r="AW43" s="213"/>
      <c r="AX43" s="213"/>
      <c r="AY43" s="213"/>
      <c r="AZ43" s="213"/>
      <c r="BA43" s="213"/>
      <c r="BB43" s="213"/>
      <c r="BC43" s="213"/>
      <c r="BD43" s="213"/>
      <c r="BE43" s="213"/>
      <c r="BF43" s="213"/>
      <c r="BG43" s="213"/>
      <c r="BH43" s="213"/>
      <c r="BI43" s="213"/>
      <c r="BJ43" s="213"/>
      <c r="BK43" s="213"/>
      <c r="BL43" s="213"/>
      <c r="BM43" s="213"/>
      <c r="BN43" s="213"/>
      <c r="BO43" s="213"/>
      <c r="BP43" s="213"/>
      <c r="BQ43" s="213"/>
      <c r="BR43" s="213"/>
      <c r="BS43" s="213"/>
      <c r="BT43" s="213"/>
      <c r="BU43" s="213"/>
      <c r="BV43" s="213"/>
      <c r="BW43" s="213"/>
      <c r="BX43" s="213"/>
      <c r="BY43" s="213"/>
      <c r="BZ43" s="213"/>
      <c r="CA43" s="213"/>
      <c r="CB43" s="213"/>
      <c r="CC43" s="213"/>
      <c r="CD43" s="213"/>
      <c r="CE43" s="213"/>
      <c r="CF43" s="213"/>
      <c r="CG43" s="213"/>
      <c r="CH43" s="213"/>
      <c r="CI43" s="213"/>
      <c r="CJ43" s="213"/>
      <c r="CK43" s="213"/>
      <c r="CL43" s="213"/>
      <c r="CM43" s="213"/>
      <c r="CN43" s="213"/>
      <c r="CO43" s="213"/>
      <c r="CP43" s="213"/>
      <c r="CQ43" s="213"/>
      <c r="CR43" s="213"/>
      <c r="CS43" s="213"/>
      <c r="CT43" s="213"/>
      <c r="CU43" s="213"/>
    </row>
    <row r="44" spans="1:99">
      <c r="A44" s="212"/>
      <c r="B44" s="212"/>
      <c r="C44" s="212"/>
      <c r="D44" s="212"/>
      <c r="E44" s="212"/>
      <c r="F44" s="212"/>
      <c r="G44" s="212"/>
      <c r="H44" s="212"/>
      <c r="I44" s="212"/>
      <c r="J44" s="300"/>
      <c r="K44" s="212"/>
      <c r="L44" s="212"/>
      <c r="M44" s="212"/>
      <c r="N44" s="212"/>
      <c r="O44" s="212"/>
      <c r="P44" s="213"/>
      <c r="Q44" s="213"/>
      <c r="R44" s="213"/>
      <c r="S44" s="213"/>
      <c r="T44" s="213"/>
      <c r="U44" s="213"/>
      <c r="V44" s="213"/>
      <c r="W44" s="213"/>
      <c r="X44" s="213"/>
      <c r="Y44" s="213"/>
      <c r="Z44" s="213"/>
      <c r="AA44" s="213"/>
      <c r="AB44" s="213"/>
      <c r="AC44" s="213"/>
      <c r="AD44" s="213"/>
      <c r="AE44" s="213"/>
      <c r="AF44" s="213"/>
      <c r="AG44" s="213"/>
      <c r="AH44" s="213"/>
      <c r="AI44" s="213"/>
      <c r="AJ44" s="213"/>
      <c r="AK44" s="213"/>
      <c r="AL44" s="213"/>
      <c r="AM44" s="213"/>
      <c r="AN44" s="213"/>
      <c r="AO44" s="213"/>
      <c r="AP44" s="213"/>
      <c r="AQ44" s="213"/>
      <c r="AR44" s="213"/>
      <c r="AS44" s="213"/>
      <c r="AT44" s="213"/>
      <c r="AU44" s="213"/>
      <c r="AV44" s="213"/>
      <c r="AW44" s="213"/>
      <c r="AX44" s="213"/>
      <c r="AY44" s="213"/>
      <c r="AZ44" s="213"/>
      <c r="BA44" s="213"/>
      <c r="BB44" s="213"/>
      <c r="BC44" s="213"/>
      <c r="BD44" s="213"/>
      <c r="BE44" s="213"/>
      <c r="BF44" s="213"/>
      <c r="BG44" s="213"/>
      <c r="BH44" s="213"/>
      <c r="BI44" s="213"/>
      <c r="BJ44" s="213"/>
      <c r="BK44" s="213"/>
      <c r="BL44" s="213"/>
      <c r="BM44" s="213"/>
      <c r="BN44" s="213"/>
      <c r="BO44" s="213"/>
      <c r="BP44" s="213"/>
      <c r="BQ44" s="213"/>
      <c r="BR44" s="213"/>
      <c r="BS44" s="213"/>
      <c r="BT44" s="213"/>
      <c r="BU44" s="213"/>
      <c r="BV44" s="213"/>
      <c r="BW44" s="213"/>
      <c r="BX44" s="213"/>
      <c r="BY44" s="213"/>
      <c r="BZ44" s="213"/>
      <c r="CA44" s="213"/>
      <c r="CB44" s="213"/>
      <c r="CC44" s="213"/>
      <c r="CD44" s="213"/>
      <c r="CE44" s="213"/>
      <c r="CF44" s="213"/>
      <c r="CG44" s="213"/>
      <c r="CH44" s="213"/>
      <c r="CI44" s="213"/>
      <c r="CJ44" s="213"/>
      <c r="CK44" s="213"/>
      <c r="CL44" s="213"/>
      <c r="CM44" s="213"/>
      <c r="CN44" s="213"/>
      <c r="CO44" s="213"/>
      <c r="CP44" s="213"/>
      <c r="CQ44" s="213"/>
      <c r="CR44" s="213"/>
      <c r="CS44" s="213"/>
      <c r="CT44" s="213"/>
      <c r="CU44" s="213"/>
    </row>
    <row r="45" spans="1:99">
      <c r="A45" s="212"/>
      <c r="B45" s="212"/>
      <c r="C45" s="212"/>
      <c r="D45" s="212"/>
      <c r="E45" s="212"/>
      <c r="F45" s="212"/>
      <c r="G45" s="212"/>
      <c r="H45" s="212"/>
      <c r="I45" s="212"/>
      <c r="J45" s="300"/>
      <c r="K45" s="212"/>
      <c r="L45" s="212"/>
      <c r="M45" s="212"/>
      <c r="N45" s="212"/>
      <c r="O45" s="212"/>
      <c r="P45" s="213"/>
      <c r="Q45" s="213"/>
      <c r="R45" s="213"/>
      <c r="S45" s="213"/>
      <c r="T45" s="213"/>
      <c r="U45" s="213"/>
      <c r="V45" s="213"/>
      <c r="W45" s="213"/>
      <c r="X45" s="213"/>
      <c r="Y45" s="213"/>
      <c r="Z45" s="213"/>
      <c r="AA45" s="213"/>
      <c r="AB45" s="213"/>
      <c r="AC45" s="213"/>
      <c r="AD45" s="213"/>
      <c r="AE45" s="213"/>
      <c r="AF45" s="213"/>
      <c r="AG45" s="213"/>
      <c r="AH45" s="213"/>
      <c r="AI45" s="213"/>
      <c r="AJ45" s="213"/>
      <c r="AK45" s="213"/>
      <c r="AL45" s="213"/>
      <c r="AM45" s="213"/>
      <c r="AN45" s="213"/>
      <c r="AO45" s="213"/>
      <c r="AP45" s="213"/>
      <c r="AQ45" s="213"/>
      <c r="AR45" s="213"/>
      <c r="AS45" s="213"/>
      <c r="AT45" s="213"/>
      <c r="AU45" s="213"/>
      <c r="AV45" s="213"/>
      <c r="AW45" s="213"/>
      <c r="AX45" s="213"/>
      <c r="AY45" s="213"/>
      <c r="AZ45" s="213"/>
      <c r="BA45" s="213"/>
      <c r="BB45" s="213"/>
      <c r="BC45" s="213"/>
      <c r="BD45" s="213"/>
      <c r="BE45" s="213"/>
      <c r="BF45" s="213"/>
      <c r="BG45" s="213"/>
      <c r="BH45" s="213"/>
      <c r="BI45" s="213"/>
      <c r="BJ45" s="213"/>
      <c r="BK45" s="213"/>
      <c r="BL45" s="213"/>
      <c r="BM45" s="213"/>
      <c r="BN45" s="213"/>
      <c r="BO45" s="213"/>
      <c r="BP45" s="213"/>
      <c r="BQ45" s="213"/>
      <c r="BR45" s="213"/>
      <c r="BS45" s="213"/>
      <c r="BT45" s="213"/>
      <c r="BU45" s="213"/>
      <c r="BV45" s="213"/>
      <c r="BW45" s="213"/>
      <c r="BX45" s="213"/>
      <c r="BY45" s="213"/>
      <c r="BZ45" s="213"/>
      <c r="CA45" s="213"/>
      <c r="CB45" s="213"/>
      <c r="CC45" s="213"/>
      <c r="CD45" s="213"/>
      <c r="CE45" s="213"/>
      <c r="CF45" s="213"/>
      <c r="CG45" s="213"/>
      <c r="CH45" s="213"/>
      <c r="CI45" s="213"/>
      <c r="CJ45" s="213"/>
      <c r="CK45" s="213"/>
      <c r="CL45" s="213"/>
      <c r="CM45" s="213"/>
      <c r="CN45" s="213"/>
      <c r="CO45" s="213"/>
      <c r="CP45" s="213"/>
      <c r="CQ45" s="213"/>
      <c r="CR45" s="213"/>
      <c r="CS45" s="213"/>
      <c r="CT45" s="213"/>
      <c r="CU45" s="213"/>
    </row>
    <row r="46" spans="1:99">
      <c r="A46" s="212"/>
      <c r="B46" s="212"/>
      <c r="C46" s="212"/>
      <c r="D46" s="212"/>
      <c r="E46" s="212"/>
      <c r="F46" s="212"/>
      <c r="G46" s="212"/>
      <c r="H46" s="212"/>
      <c r="I46" s="212"/>
      <c r="J46" s="300"/>
      <c r="K46" s="212"/>
      <c r="L46" s="212"/>
      <c r="M46" s="212"/>
      <c r="N46" s="212"/>
      <c r="O46" s="212"/>
      <c r="P46" s="213"/>
      <c r="Q46" s="213"/>
      <c r="R46" s="213"/>
      <c r="S46" s="213"/>
      <c r="T46" s="213"/>
      <c r="U46" s="213"/>
      <c r="V46" s="213"/>
      <c r="W46" s="213"/>
      <c r="X46" s="213"/>
      <c r="Y46" s="213"/>
      <c r="Z46" s="213"/>
      <c r="AA46" s="213"/>
      <c r="AB46" s="213"/>
      <c r="AC46" s="213"/>
      <c r="AD46" s="213"/>
      <c r="AE46" s="213"/>
      <c r="AF46" s="213"/>
      <c r="AG46" s="213"/>
      <c r="AH46" s="213"/>
      <c r="AI46" s="213"/>
      <c r="AJ46" s="213"/>
      <c r="AK46" s="213"/>
      <c r="AL46" s="213"/>
      <c r="AM46" s="213"/>
      <c r="AN46" s="213"/>
      <c r="AO46" s="213"/>
      <c r="AP46" s="213"/>
      <c r="AQ46" s="213"/>
      <c r="AR46" s="213"/>
      <c r="AS46" s="213"/>
      <c r="AT46" s="213"/>
      <c r="AU46" s="213"/>
      <c r="AV46" s="213"/>
      <c r="AW46" s="213"/>
      <c r="AX46" s="213"/>
      <c r="AY46" s="213"/>
      <c r="AZ46" s="213"/>
      <c r="BA46" s="213"/>
      <c r="BB46" s="213"/>
      <c r="BC46" s="213"/>
      <c r="BD46" s="213"/>
      <c r="BE46" s="213"/>
      <c r="BF46" s="213"/>
      <c r="BG46" s="213"/>
      <c r="BH46" s="213"/>
      <c r="BI46" s="213"/>
      <c r="BJ46" s="213"/>
      <c r="BK46" s="213"/>
      <c r="BL46" s="213"/>
      <c r="BM46" s="213"/>
      <c r="BN46" s="213"/>
      <c r="BO46" s="213"/>
      <c r="BP46" s="213"/>
      <c r="BQ46" s="213"/>
      <c r="BR46" s="213"/>
      <c r="BS46" s="213"/>
      <c r="BT46" s="213"/>
      <c r="BU46" s="213"/>
      <c r="BV46" s="213"/>
      <c r="BW46" s="213"/>
      <c r="BX46" s="213"/>
      <c r="BY46" s="213"/>
      <c r="BZ46" s="213"/>
      <c r="CA46" s="213"/>
      <c r="CB46" s="213"/>
      <c r="CC46" s="213"/>
      <c r="CD46" s="213"/>
      <c r="CE46" s="213"/>
      <c r="CF46" s="213"/>
      <c r="CG46" s="213"/>
      <c r="CH46" s="213"/>
      <c r="CI46" s="213"/>
      <c r="CJ46" s="213"/>
      <c r="CK46" s="213"/>
      <c r="CL46" s="213"/>
      <c r="CM46" s="213"/>
      <c r="CN46" s="213"/>
      <c r="CO46" s="213"/>
      <c r="CP46" s="213"/>
      <c r="CQ46" s="213"/>
      <c r="CR46" s="213"/>
      <c r="CS46" s="213"/>
      <c r="CT46" s="213"/>
      <c r="CU46" s="213"/>
    </row>
    <row r="47" spans="1:99">
      <c r="A47" s="212"/>
      <c r="B47" s="212"/>
      <c r="C47" s="212"/>
      <c r="D47" s="212"/>
      <c r="E47" s="212"/>
      <c r="F47" s="212"/>
      <c r="G47" s="212"/>
      <c r="H47" s="212"/>
      <c r="I47" s="212"/>
      <c r="J47" s="300"/>
      <c r="K47" s="212"/>
      <c r="L47" s="212"/>
      <c r="M47" s="212"/>
      <c r="N47" s="212"/>
      <c r="O47" s="212"/>
      <c r="P47" s="213"/>
      <c r="Q47" s="213"/>
      <c r="R47" s="213"/>
      <c r="S47" s="213"/>
      <c r="T47" s="213"/>
      <c r="U47" s="213"/>
      <c r="V47" s="213"/>
      <c r="W47" s="213"/>
      <c r="X47" s="213"/>
      <c r="Y47" s="213"/>
      <c r="Z47" s="213"/>
      <c r="AA47" s="213"/>
      <c r="AB47" s="213"/>
      <c r="AC47" s="213"/>
      <c r="AD47" s="213"/>
      <c r="AE47" s="213"/>
      <c r="AF47" s="213"/>
      <c r="AG47" s="213"/>
      <c r="AH47" s="213"/>
      <c r="AI47" s="213"/>
      <c r="AJ47" s="213"/>
      <c r="AK47" s="213"/>
      <c r="AL47" s="213"/>
      <c r="AM47" s="213"/>
      <c r="AN47" s="213"/>
      <c r="AO47" s="213"/>
      <c r="AP47" s="213"/>
      <c r="AQ47" s="213"/>
      <c r="AR47" s="213"/>
      <c r="AS47" s="213"/>
      <c r="AT47" s="213"/>
      <c r="AU47" s="213"/>
      <c r="AV47" s="213"/>
      <c r="AW47" s="213"/>
      <c r="AX47" s="213"/>
      <c r="AY47" s="213"/>
      <c r="AZ47" s="213"/>
      <c r="BA47" s="213"/>
      <c r="BB47" s="213"/>
      <c r="BC47" s="213"/>
      <c r="BD47" s="213"/>
      <c r="BE47" s="213"/>
      <c r="BF47" s="213"/>
      <c r="BG47" s="213"/>
      <c r="BH47" s="213"/>
      <c r="BI47" s="213"/>
      <c r="BJ47" s="213"/>
      <c r="BK47" s="213"/>
      <c r="BL47" s="213"/>
      <c r="BM47" s="213"/>
      <c r="BN47" s="213"/>
      <c r="BO47" s="213"/>
      <c r="BP47" s="213"/>
      <c r="BQ47" s="213"/>
      <c r="BR47" s="213"/>
      <c r="BS47" s="213"/>
      <c r="BT47" s="213"/>
      <c r="BU47" s="213"/>
      <c r="BV47" s="213"/>
      <c r="BW47" s="213"/>
      <c r="BX47" s="213"/>
      <c r="BY47" s="213"/>
      <c r="BZ47" s="213"/>
      <c r="CA47" s="213"/>
      <c r="CB47" s="213"/>
      <c r="CC47" s="213"/>
      <c r="CD47" s="213"/>
      <c r="CE47" s="213"/>
      <c r="CF47" s="213"/>
      <c r="CG47" s="213"/>
      <c r="CH47" s="213"/>
      <c r="CI47" s="213"/>
      <c r="CJ47" s="213"/>
      <c r="CK47" s="213"/>
      <c r="CL47" s="213"/>
      <c r="CM47" s="213"/>
      <c r="CN47" s="213"/>
      <c r="CO47" s="213"/>
      <c r="CP47" s="213"/>
      <c r="CQ47" s="213"/>
      <c r="CR47" s="213"/>
      <c r="CS47" s="213"/>
      <c r="CT47" s="213"/>
      <c r="CU47" s="213"/>
    </row>
    <row r="48" spans="1:99">
      <c r="A48" s="212"/>
      <c r="B48" s="212"/>
      <c r="C48" s="212"/>
      <c r="D48" s="212"/>
      <c r="E48" s="212"/>
      <c r="F48" s="212"/>
      <c r="G48" s="212"/>
      <c r="H48" s="212"/>
      <c r="I48" s="212"/>
      <c r="J48" s="300"/>
      <c r="K48" s="212"/>
      <c r="L48" s="212"/>
      <c r="M48" s="212"/>
      <c r="N48" s="212"/>
      <c r="O48" s="212"/>
      <c r="P48" s="213"/>
      <c r="Q48" s="213"/>
      <c r="R48" s="213"/>
      <c r="S48" s="213"/>
      <c r="T48" s="213"/>
      <c r="U48" s="213"/>
      <c r="V48" s="213"/>
      <c r="W48" s="213"/>
      <c r="X48" s="213"/>
      <c r="Y48" s="213"/>
      <c r="Z48" s="213"/>
      <c r="AA48" s="213"/>
      <c r="AB48" s="213"/>
      <c r="AC48" s="213"/>
      <c r="AD48" s="213"/>
      <c r="AE48" s="213"/>
      <c r="AF48" s="213"/>
      <c r="AG48" s="213"/>
      <c r="AH48" s="213"/>
      <c r="AI48" s="213"/>
      <c r="AJ48" s="213"/>
      <c r="AK48" s="213"/>
      <c r="AL48" s="213"/>
      <c r="AM48" s="213"/>
      <c r="AN48" s="213"/>
      <c r="AO48" s="213"/>
      <c r="AP48" s="213"/>
      <c r="AQ48" s="213"/>
      <c r="AR48" s="213"/>
      <c r="AS48" s="213"/>
      <c r="AT48" s="213"/>
      <c r="AU48" s="213"/>
      <c r="AV48" s="213"/>
      <c r="AW48" s="213"/>
      <c r="AX48" s="213"/>
      <c r="AY48" s="213"/>
      <c r="AZ48" s="213"/>
      <c r="BA48" s="213"/>
      <c r="BB48" s="213"/>
      <c r="BC48" s="213"/>
      <c r="BD48" s="213"/>
      <c r="BE48" s="213"/>
      <c r="BF48" s="213"/>
      <c r="BG48" s="213"/>
      <c r="BH48" s="213"/>
      <c r="BI48" s="213"/>
      <c r="BJ48" s="213"/>
      <c r="BK48" s="213"/>
      <c r="BL48" s="213"/>
      <c r="BM48" s="213"/>
      <c r="BN48" s="213"/>
      <c r="BO48" s="213"/>
      <c r="BP48" s="213"/>
      <c r="BQ48" s="213"/>
      <c r="BR48" s="213"/>
      <c r="BS48" s="213"/>
      <c r="BT48" s="213"/>
      <c r="BU48" s="213"/>
      <c r="BV48" s="213"/>
      <c r="BW48" s="213"/>
      <c r="BX48" s="213"/>
      <c r="BY48" s="213"/>
      <c r="BZ48" s="213"/>
      <c r="CA48" s="213"/>
      <c r="CB48" s="213"/>
      <c r="CC48" s="213"/>
      <c r="CD48" s="213"/>
      <c r="CE48" s="213"/>
      <c r="CF48" s="213"/>
      <c r="CG48" s="213"/>
      <c r="CH48" s="213"/>
      <c r="CI48" s="213"/>
      <c r="CJ48" s="213"/>
      <c r="CK48" s="213"/>
      <c r="CL48" s="213"/>
      <c r="CM48" s="213"/>
      <c r="CN48" s="213"/>
      <c r="CO48" s="213"/>
      <c r="CP48" s="213"/>
      <c r="CQ48" s="213"/>
      <c r="CR48" s="213"/>
      <c r="CS48" s="213"/>
      <c r="CT48" s="213"/>
      <c r="CU48" s="213"/>
    </row>
    <row r="49" spans="1:99">
      <c r="A49" s="212"/>
      <c r="B49" s="212"/>
      <c r="C49" s="212"/>
      <c r="D49" s="212"/>
      <c r="E49" s="212"/>
      <c r="F49" s="212"/>
      <c r="G49" s="212"/>
      <c r="H49" s="212"/>
      <c r="I49" s="212"/>
      <c r="J49" s="300"/>
      <c r="K49" s="212"/>
      <c r="L49" s="212"/>
      <c r="M49" s="212"/>
      <c r="N49" s="212"/>
      <c r="O49" s="212"/>
      <c r="P49" s="213"/>
      <c r="Q49" s="213"/>
      <c r="R49" s="213"/>
      <c r="S49" s="213"/>
      <c r="T49" s="213"/>
      <c r="U49" s="213"/>
      <c r="V49" s="213"/>
      <c r="W49" s="213"/>
      <c r="X49" s="213"/>
      <c r="Y49" s="213"/>
      <c r="Z49" s="213"/>
      <c r="AA49" s="213"/>
      <c r="AB49" s="213"/>
      <c r="AC49" s="213"/>
      <c r="AD49" s="213"/>
      <c r="AE49" s="213"/>
      <c r="AF49" s="213"/>
      <c r="AG49" s="213"/>
      <c r="AH49" s="213"/>
      <c r="AI49" s="213"/>
      <c r="AJ49" s="213"/>
      <c r="AK49" s="213"/>
      <c r="AL49" s="213"/>
      <c r="AM49" s="213"/>
      <c r="AN49" s="213"/>
      <c r="AO49" s="213"/>
      <c r="AP49" s="213"/>
      <c r="AQ49" s="213"/>
      <c r="AR49" s="213"/>
      <c r="AS49" s="213"/>
      <c r="AT49" s="213"/>
      <c r="AU49" s="213"/>
      <c r="AV49" s="213"/>
      <c r="AW49" s="213"/>
      <c r="AX49" s="213"/>
      <c r="AY49" s="213"/>
      <c r="AZ49" s="213"/>
      <c r="BA49" s="213"/>
      <c r="BB49" s="213"/>
      <c r="BC49" s="213"/>
      <c r="BD49" s="213"/>
      <c r="BE49" s="213"/>
      <c r="BF49" s="213"/>
      <c r="BG49" s="213"/>
      <c r="BH49" s="213"/>
      <c r="BI49" s="213"/>
      <c r="BJ49" s="213"/>
      <c r="BK49" s="213"/>
      <c r="BL49" s="213"/>
      <c r="BM49" s="213"/>
      <c r="BN49" s="213"/>
      <c r="BO49" s="213"/>
      <c r="BP49" s="213"/>
      <c r="BQ49" s="213"/>
      <c r="BR49" s="213"/>
      <c r="BS49" s="213"/>
      <c r="BT49" s="213"/>
      <c r="BU49" s="213"/>
      <c r="BV49" s="213"/>
      <c r="BW49" s="213"/>
      <c r="BX49" s="213"/>
      <c r="BY49" s="213"/>
      <c r="BZ49" s="213"/>
      <c r="CA49" s="213"/>
      <c r="CB49" s="213"/>
      <c r="CC49" s="213"/>
      <c r="CD49" s="213"/>
      <c r="CE49" s="213"/>
      <c r="CF49" s="213"/>
      <c r="CG49" s="213"/>
      <c r="CH49" s="213"/>
      <c r="CI49" s="213"/>
      <c r="CJ49" s="213"/>
      <c r="CK49" s="213"/>
      <c r="CL49" s="213"/>
      <c r="CM49" s="213"/>
      <c r="CN49" s="213"/>
      <c r="CO49" s="213"/>
      <c r="CP49" s="213"/>
      <c r="CQ49" s="213"/>
      <c r="CR49" s="213"/>
      <c r="CS49" s="213"/>
      <c r="CT49" s="213"/>
      <c r="CU49" s="213"/>
    </row>
    <row r="50" spans="1:99">
      <c r="A50" s="212"/>
      <c r="B50" s="212"/>
      <c r="C50" s="212"/>
      <c r="D50" s="212"/>
      <c r="E50" s="212"/>
      <c r="F50" s="212"/>
      <c r="G50" s="212"/>
      <c r="H50" s="212"/>
      <c r="I50" s="212"/>
      <c r="J50" s="300"/>
      <c r="K50" s="212"/>
      <c r="L50" s="212"/>
      <c r="M50" s="212"/>
      <c r="N50" s="212"/>
      <c r="O50" s="212"/>
      <c r="P50" s="213"/>
      <c r="Q50" s="213"/>
      <c r="R50" s="213"/>
      <c r="S50" s="213"/>
      <c r="T50" s="213"/>
      <c r="U50" s="213"/>
      <c r="V50" s="213"/>
      <c r="W50" s="213"/>
      <c r="X50" s="213"/>
      <c r="Y50" s="213"/>
      <c r="Z50" s="213"/>
      <c r="AA50" s="213"/>
      <c r="AB50" s="213"/>
      <c r="AC50" s="213"/>
      <c r="AD50" s="213"/>
      <c r="AE50" s="213"/>
      <c r="AF50" s="213"/>
      <c r="AG50" s="213"/>
      <c r="AH50" s="213"/>
      <c r="AI50" s="213"/>
      <c r="AJ50" s="213"/>
      <c r="AK50" s="213"/>
      <c r="AL50" s="213"/>
      <c r="AM50" s="213"/>
      <c r="AN50" s="213"/>
      <c r="AO50" s="213"/>
      <c r="AP50" s="213"/>
      <c r="AQ50" s="213"/>
      <c r="AR50" s="213"/>
      <c r="AS50" s="213"/>
      <c r="AT50" s="213"/>
      <c r="AU50" s="213"/>
      <c r="AV50" s="213"/>
      <c r="AW50" s="213"/>
      <c r="AX50" s="213"/>
      <c r="AY50" s="213"/>
      <c r="AZ50" s="213"/>
      <c r="BA50" s="213"/>
      <c r="BB50" s="213"/>
      <c r="BC50" s="213"/>
      <c r="BD50" s="213"/>
      <c r="BE50" s="213"/>
      <c r="BF50" s="213"/>
      <c r="BG50" s="213"/>
      <c r="BH50" s="213"/>
      <c r="BI50" s="213"/>
      <c r="BJ50" s="213"/>
      <c r="BK50" s="213"/>
      <c r="BL50" s="213"/>
      <c r="BM50" s="213"/>
      <c r="BN50" s="213"/>
      <c r="BO50" s="213"/>
      <c r="BP50" s="213"/>
      <c r="BQ50" s="213"/>
      <c r="BR50" s="213"/>
      <c r="BS50" s="213"/>
      <c r="BT50" s="213"/>
      <c r="BU50" s="213"/>
      <c r="BV50" s="213"/>
      <c r="BW50" s="213"/>
      <c r="BX50" s="213"/>
      <c r="BY50" s="213"/>
      <c r="BZ50" s="213"/>
      <c r="CA50" s="213"/>
      <c r="CB50" s="213"/>
      <c r="CC50" s="213"/>
      <c r="CD50" s="213"/>
      <c r="CE50" s="213"/>
      <c r="CF50" s="213"/>
      <c r="CG50" s="213"/>
      <c r="CH50" s="213"/>
      <c r="CI50" s="213"/>
      <c r="CJ50" s="213"/>
      <c r="CK50" s="213"/>
      <c r="CL50" s="213"/>
      <c r="CM50" s="213"/>
      <c r="CN50" s="213"/>
      <c r="CO50" s="213"/>
      <c r="CP50" s="213"/>
      <c r="CQ50" s="213"/>
      <c r="CR50" s="213"/>
      <c r="CS50" s="213"/>
      <c r="CT50" s="213"/>
      <c r="CU50" s="213"/>
    </row>
    <row r="51" spans="1:99">
      <c r="A51" s="212"/>
      <c r="B51" s="212"/>
      <c r="C51" s="212"/>
      <c r="D51" s="212"/>
      <c r="E51" s="212"/>
      <c r="F51" s="212"/>
      <c r="G51" s="212"/>
      <c r="H51" s="212"/>
      <c r="I51" s="212"/>
      <c r="J51" s="300"/>
      <c r="K51" s="212"/>
      <c r="L51" s="212"/>
      <c r="M51" s="212"/>
      <c r="N51" s="212"/>
      <c r="O51" s="212"/>
      <c r="P51" s="213"/>
      <c r="Q51" s="213"/>
      <c r="R51" s="213"/>
      <c r="S51" s="213"/>
      <c r="T51" s="213"/>
      <c r="U51" s="213"/>
      <c r="V51" s="213"/>
      <c r="W51" s="213"/>
      <c r="X51" s="213"/>
      <c r="Y51" s="213"/>
      <c r="Z51" s="213"/>
      <c r="AA51" s="213"/>
      <c r="AB51" s="213"/>
      <c r="AC51" s="213"/>
      <c r="AD51" s="213"/>
      <c r="AE51" s="213"/>
      <c r="AF51" s="213"/>
      <c r="AG51" s="213"/>
      <c r="AH51" s="213"/>
      <c r="AI51" s="213"/>
      <c r="AJ51" s="213"/>
      <c r="AK51" s="213"/>
      <c r="AL51" s="213"/>
      <c r="AM51" s="213"/>
      <c r="AN51" s="213"/>
      <c r="AO51" s="213"/>
      <c r="AP51" s="213"/>
      <c r="AQ51" s="213"/>
      <c r="AR51" s="213"/>
      <c r="AS51" s="213"/>
      <c r="AT51" s="213"/>
      <c r="AU51" s="213"/>
      <c r="AV51" s="213"/>
      <c r="AW51" s="213"/>
      <c r="AX51" s="213"/>
      <c r="AY51" s="213"/>
      <c r="AZ51" s="213"/>
      <c r="BA51" s="213"/>
      <c r="BB51" s="213"/>
      <c r="BC51" s="213"/>
      <c r="BD51" s="213"/>
      <c r="BE51" s="213"/>
      <c r="BF51" s="213"/>
      <c r="BG51" s="213"/>
      <c r="BH51" s="213"/>
      <c r="BI51" s="213"/>
      <c r="BJ51" s="213"/>
      <c r="BK51" s="213"/>
      <c r="BL51" s="213"/>
      <c r="BM51" s="213"/>
      <c r="BN51" s="213"/>
      <c r="BO51" s="213"/>
      <c r="BP51" s="213"/>
      <c r="BQ51" s="213"/>
      <c r="BR51" s="213"/>
      <c r="BS51" s="213"/>
      <c r="BT51" s="213"/>
      <c r="BU51" s="213"/>
      <c r="BV51" s="213"/>
      <c r="BW51" s="213"/>
      <c r="BX51" s="213"/>
      <c r="BY51" s="213"/>
      <c r="BZ51" s="213"/>
      <c r="CA51" s="213"/>
      <c r="CB51" s="213"/>
      <c r="CC51" s="213"/>
      <c r="CD51" s="213"/>
      <c r="CE51" s="213"/>
      <c r="CF51" s="213"/>
      <c r="CG51" s="213"/>
      <c r="CH51" s="213"/>
      <c r="CI51" s="213"/>
      <c r="CJ51" s="213"/>
      <c r="CK51" s="213"/>
      <c r="CL51" s="213"/>
      <c r="CM51" s="213"/>
      <c r="CN51" s="213"/>
      <c r="CO51" s="213"/>
      <c r="CP51" s="213"/>
      <c r="CQ51" s="213"/>
      <c r="CR51" s="213"/>
      <c r="CS51" s="213"/>
      <c r="CT51" s="213"/>
      <c r="CU51" s="213"/>
    </row>
    <row r="52" spans="1:99">
      <c r="A52" s="212"/>
      <c r="B52" s="212"/>
      <c r="C52" s="212"/>
      <c r="D52" s="212"/>
      <c r="E52" s="212"/>
      <c r="F52" s="212"/>
      <c r="G52" s="212"/>
      <c r="H52" s="212"/>
      <c r="I52" s="212"/>
      <c r="J52" s="300"/>
      <c r="K52" s="212"/>
      <c r="L52" s="212"/>
      <c r="M52" s="212"/>
      <c r="N52" s="212"/>
      <c r="O52" s="212"/>
      <c r="P52" s="213"/>
      <c r="Q52" s="213"/>
      <c r="R52" s="213"/>
      <c r="S52" s="213"/>
      <c r="T52" s="213"/>
      <c r="U52" s="213"/>
      <c r="V52" s="213"/>
      <c r="W52" s="213"/>
      <c r="X52" s="213"/>
      <c r="Y52" s="213"/>
      <c r="Z52" s="213"/>
      <c r="AA52" s="213"/>
      <c r="AB52" s="213"/>
      <c r="AC52" s="213"/>
      <c r="AD52" s="213"/>
      <c r="AE52" s="213"/>
      <c r="AF52" s="213"/>
      <c r="AG52" s="213"/>
      <c r="AH52" s="213"/>
      <c r="AI52" s="213"/>
      <c r="AJ52" s="213"/>
      <c r="AK52" s="213"/>
      <c r="AL52" s="213"/>
      <c r="AM52" s="213"/>
      <c r="AN52" s="213"/>
      <c r="AO52" s="213"/>
      <c r="AP52" s="213"/>
      <c r="AQ52" s="213"/>
      <c r="AR52" s="213"/>
      <c r="AS52" s="213"/>
      <c r="AT52" s="213"/>
      <c r="AU52" s="213"/>
      <c r="AV52" s="213"/>
      <c r="AW52" s="213"/>
      <c r="AX52" s="213"/>
      <c r="AY52" s="213"/>
      <c r="AZ52" s="213"/>
      <c r="BA52" s="213"/>
      <c r="BB52" s="213"/>
      <c r="BC52" s="213"/>
      <c r="BD52" s="213"/>
      <c r="BE52" s="213"/>
      <c r="BF52" s="213"/>
      <c r="BG52" s="213"/>
      <c r="BH52" s="213"/>
      <c r="BI52" s="213"/>
      <c r="BJ52" s="213"/>
      <c r="BK52" s="213"/>
      <c r="BL52" s="213"/>
      <c r="BM52" s="213"/>
      <c r="BN52" s="213"/>
      <c r="BO52" s="213"/>
      <c r="BP52" s="213"/>
      <c r="BQ52" s="213"/>
      <c r="BR52" s="213"/>
      <c r="BS52" s="213"/>
      <c r="BT52" s="213"/>
      <c r="BU52" s="213"/>
      <c r="BV52" s="213"/>
      <c r="BW52" s="213"/>
      <c r="BX52" s="213"/>
      <c r="BY52" s="213"/>
      <c r="BZ52" s="213"/>
      <c r="CA52" s="213"/>
      <c r="CB52" s="213"/>
      <c r="CC52" s="213"/>
      <c r="CD52" s="213"/>
      <c r="CE52" s="213"/>
      <c r="CF52" s="213"/>
      <c r="CG52" s="213"/>
      <c r="CH52" s="213"/>
      <c r="CI52" s="213"/>
      <c r="CJ52" s="213"/>
      <c r="CK52" s="213"/>
      <c r="CL52" s="213"/>
      <c r="CM52" s="213"/>
      <c r="CN52" s="213"/>
      <c r="CO52" s="213"/>
      <c r="CP52" s="213"/>
      <c r="CQ52" s="213"/>
      <c r="CR52" s="213"/>
      <c r="CS52" s="213"/>
      <c r="CT52" s="213"/>
      <c r="CU52" s="213"/>
    </row>
    <row r="53" spans="1:99">
      <c r="A53" s="212"/>
      <c r="B53" s="212"/>
      <c r="C53" s="212"/>
      <c r="D53" s="212"/>
      <c r="E53" s="212"/>
      <c r="F53" s="212"/>
      <c r="G53" s="212"/>
      <c r="H53" s="212"/>
      <c r="I53" s="212"/>
      <c r="J53" s="300"/>
      <c r="K53" s="212"/>
      <c r="L53" s="212"/>
      <c r="M53" s="212"/>
      <c r="N53" s="212"/>
      <c r="O53" s="212"/>
      <c r="P53" s="213"/>
      <c r="Q53" s="213"/>
      <c r="R53" s="213"/>
      <c r="S53" s="213"/>
      <c r="T53" s="213"/>
      <c r="U53" s="213"/>
      <c r="V53" s="213"/>
      <c r="W53" s="213"/>
      <c r="X53" s="213"/>
      <c r="Y53" s="213"/>
      <c r="Z53" s="213"/>
      <c r="AA53" s="213"/>
      <c r="AB53" s="213"/>
      <c r="AC53" s="213"/>
      <c r="AD53" s="213"/>
      <c r="AE53" s="213"/>
      <c r="AF53" s="213"/>
      <c r="AG53" s="213"/>
      <c r="AH53" s="213"/>
      <c r="AI53" s="213"/>
      <c r="AJ53" s="213"/>
      <c r="AK53" s="213"/>
      <c r="AL53" s="213"/>
      <c r="AM53" s="213"/>
      <c r="AN53" s="213"/>
      <c r="AO53" s="213"/>
      <c r="AP53" s="213"/>
      <c r="AQ53" s="213"/>
      <c r="AR53" s="213"/>
      <c r="AS53" s="213"/>
      <c r="AT53" s="213"/>
      <c r="AU53" s="213"/>
      <c r="AV53" s="213"/>
      <c r="AW53" s="213"/>
      <c r="AX53" s="213"/>
      <c r="AY53" s="213"/>
      <c r="AZ53" s="213"/>
      <c r="BA53" s="213"/>
      <c r="BB53" s="213"/>
      <c r="BC53" s="213"/>
      <c r="BD53" s="213"/>
      <c r="BE53" s="213"/>
      <c r="BF53" s="213"/>
      <c r="BG53" s="213"/>
      <c r="BH53" s="213"/>
      <c r="BI53" s="213"/>
      <c r="BJ53" s="213"/>
      <c r="BK53" s="213"/>
      <c r="BL53" s="213"/>
      <c r="BM53" s="213"/>
      <c r="BN53" s="213"/>
      <c r="BO53" s="213"/>
      <c r="BP53" s="213"/>
      <c r="BQ53" s="213"/>
      <c r="BR53" s="213"/>
      <c r="BS53" s="213"/>
      <c r="BT53" s="213"/>
      <c r="BU53" s="213"/>
      <c r="BV53" s="213"/>
      <c r="BW53" s="213"/>
      <c r="BX53" s="213"/>
      <c r="BY53" s="213"/>
      <c r="BZ53" s="213"/>
      <c r="CA53" s="213"/>
      <c r="CB53" s="213"/>
      <c r="CC53" s="213"/>
      <c r="CD53" s="213"/>
      <c r="CE53" s="213"/>
      <c r="CF53" s="213"/>
      <c r="CG53" s="213"/>
      <c r="CH53" s="213"/>
      <c r="CI53" s="213"/>
      <c r="CJ53" s="213"/>
      <c r="CK53" s="213"/>
      <c r="CL53" s="213"/>
      <c r="CM53" s="213"/>
      <c r="CN53" s="213"/>
      <c r="CO53" s="213"/>
      <c r="CP53" s="213"/>
      <c r="CQ53" s="213"/>
      <c r="CR53" s="213"/>
      <c r="CS53" s="213"/>
      <c r="CT53" s="213"/>
      <c r="CU53" s="213"/>
    </row>
    <row r="54" spans="1:99">
      <c r="A54" s="212"/>
      <c r="B54" s="212"/>
      <c r="C54" s="212"/>
      <c r="D54" s="212"/>
      <c r="E54" s="212"/>
      <c r="F54" s="212"/>
      <c r="G54" s="212"/>
      <c r="H54" s="212"/>
      <c r="I54" s="212"/>
      <c r="J54" s="300"/>
      <c r="K54" s="212"/>
      <c r="L54" s="212"/>
      <c r="M54" s="212"/>
      <c r="N54" s="212"/>
      <c r="O54" s="212"/>
      <c r="P54" s="213"/>
      <c r="Q54" s="213"/>
      <c r="R54" s="213"/>
      <c r="S54" s="213"/>
      <c r="T54" s="213"/>
      <c r="U54" s="213"/>
      <c r="V54" s="213"/>
      <c r="W54" s="213"/>
      <c r="X54" s="213"/>
      <c r="Y54" s="213"/>
      <c r="Z54" s="213"/>
      <c r="AA54" s="213"/>
      <c r="AB54" s="213"/>
      <c r="AC54" s="213"/>
      <c r="AD54" s="213"/>
      <c r="AE54" s="213"/>
      <c r="AF54" s="213"/>
      <c r="AG54" s="213"/>
      <c r="AH54" s="213"/>
      <c r="AI54" s="213"/>
      <c r="AJ54" s="213"/>
      <c r="AK54" s="213"/>
      <c r="AL54" s="213"/>
      <c r="AM54" s="213"/>
      <c r="AN54" s="213"/>
      <c r="AO54" s="213"/>
      <c r="AP54" s="213"/>
      <c r="AQ54" s="213"/>
      <c r="AR54" s="213"/>
      <c r="AS54" s="213"/>
      <c r="AT54" s="213"/>
      <c r="AU54" s="213"/>
      <c r="AV54" s="213"/>
      <c r="AW54" s="213"/>
      <c r="AX54" s="213"/>
      <c r="AY54" s="213"/>
      <c r="AZ54" s="213"/>
      <c r="BA54" s="213"/>
      <c r="BB54" s="213"/>
      <c r="BC54" s="213"/>
      <c r="BD54" s="213"/>
      <c r="BE54" s="213"/>
      <c r="BF54" s="213"/>
      <c r="BG54" s="213"/>
      <c r="BH54" s="213"/>
      <c r="BI54" s="213"/>
      <c r="BJ54" s="213"/>
      <c r="BK54" s="213"/>
      <c r="BL54" s="213"/>
      <c r="BM54" s="213"/>
      <c r="BN54" s="213"/>
      <c r="BO54" s="213"/>
      <c r="BP54" s="213"/>
      <c r="BQ54" s="213"/>
      <c r="BR54" s="213"/>
      <c r="BS54" s="213"/>
      <c r="BT54" s="213"/>
      <c r="BU54" s="213"/>
      <c r="BV54" s="213"/>
      <c r="BW54" s="213"/>
      <c r="BX54" s="213"/>
      <c r="BY54" s="213"/>
      <c r="BZ54" s="213"/>
      <c r="CA54" s="213"/>
      <c r="CB54" s="213"/>
      <c r="CC54" s="213"/>
      <c r="CD54" s="213"/>
      <c r="CE54" s="213"/>
      <c r="CF54" s="213"/>
      <c r="CG54" s="213"/>
      <c r="CH54" s="213"/>
      <c r="CI54" s="213"/>
      <c r="CJ54" s="213"/>
      <c r="CK54" s="213"/>
      <c r="CL54" s="213"/>
      <c r="CM54" s="213"/>
      <c r="CN54" s="213"/>
      <c r="CO54" s="213"/>
      <c r="CP54" s="213"/>
      <c r="CQ54" s="213"/>
      <c r="CR54" s="213"/>
      <c r="CS54" s="213"/>
      <c r="CT54" s="213"/>
      <c r="CU54" s="213"/>
    </row>
    <row r="55" spans="1:99">
      <c r="A55" s="212"/>
      <c r="B55" s="212"/>
      <c r="C55" s="212"/>
      <c r="D55" s="212"/>
      <c r="E55" s="212"/>
      <c r="F55" s="212"/>
      <c r="G55" s="212"/>
      <c r="H55" s="212"/>
      <c r="I55" s="212"/>
      <c r="J55" s="300"/>
      <c r="K55" s="212"/>
      <c r="L55" s="212"/>
      <c r="M55" s="212"/>
      <c r="N55" s="212"/>
      <c r="O55" s="212"/>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c r="BW55" s="213"/>
      <c r="BX55" s="213"/>
      <c r="BY55" s="213"/>
      <c r="BZ55" s="213"/>
      <c r="CA55" s="213"/>
      <c r="CB55" s="213"/>
      <c r="CC55" s="213"/>
      <c r="CD55" s="213"/>
      <c r="CE55" s="213"/>
      <c r="CF55" s="213"/>
      <c r="CG55" s="213"/>
      <c r="CH55" s="213"/>
      <c r="CI55" s="213"/>
      <c r="CJ55" s="213"/>
      <c r="CK55" s="213"/>
      <c r="CL55" s="213"/>
      <c r="CM55" s="213"/>
      <c r="CN55" s="213"/>
      <c r="CO55" s="213"/>
      <c r="CP55" s="213"/>
      <c r="CQ55" s="213"/>
      <c r="CR55" s="213"/>
      <c r="CS55" s="213"/>
      <c r="CT55" s="213"/>
      <c r="CU55" s="213"/>
    </row>
    <row r="56" spans="1:99">
      <c r="A56" s="212"/>
      <c r="B56" s="212"/>
      <c r="C56" s="212"/>
      <c r="D56" s="212"/>
      <c r="E56" s="212"/>
      <c r="F56" s="212"/>
      <c r="G56" s="212"/>
      <c r="H56" s="212"/>
      <c r="I56" s="212"/>
      <c r="J56" s="300"/>
      <c r="K56" s="212"/>
      <c r="L56" s="212"/>
      <c r="M56" s="212"/>
      <c r="N56" s="212"/>
      <c r="O56" s="212"/>
      <c r="P56" s="213"/>
      <c r="Q56" s="213"/>
      <c r="R56" s="213"/>
      <c r="S56" s="213"/>
      <c r="T56" s="213"/>
      <c r="U56" s="213"/>
      <c r="V56" s="213"/>
      <c r="W56" s="213"/>
      <c r="X56" s="213"/>
      <c r="Y56" s="213"/>
      <c r="Z56" s="213"/>
      <c r="AA56" s="213"/>
      <c r="AB56" s="213"/>
      <c r="AC56" s="213"/>
      <c r="AD56" s="213"/>
      <c r="AE56" s="213"/>
      <c r="AF56" s="213"/>
      <c r="AG56" s="213"/>
      <c r="AH56" s="213"/>
      <c r="AI56" s="213"/>
      <c r="AJ56" s="213"/>
      <c r="AK56" s="213"/>
      <c r="AL56" s="213"/>
      <c r="AM56" s="213"/>
      <c r="AN56" s="213"/>
      <c r="AO56" s="213"/>
      <c r="AP56" s="213"/>
      <c r="AQ56" s="213"/>
      <c r="AR56" s="213"/>
      <c r="AS56" s="213"/>
      <c r="AT56" s="213"/>
      <c r="AU56" s="213"/>
      <c r="AV56" s="213"/>
      <c r="AW56" s="213"/>
      <c r="AX56" s="213"/>
      <c r="AY56" s="213"/>
      <c r="AZ56" s="213"/>
      <c r="BA56" s="213"/>
      <c r="BB56" s="213"/>
      <c r="BC56" s="213"/>
      <c r="BD56" s="213"/>
      <c r="BE56" s="213"/>
      <c r="BF56" s="213"/>
      <c r="BG56" s="213"/>
      <c r="BH56" s="213"/>
      <c r="BI56" s="213"/>
      <c r="BJ56" s="213"/>
      <c r="BK56" s="213"/>
      <c r="BL56" s="213"/>
      <c r="BM56" s="213"/>
      <c r="BN56" s="213"/>
      <c r="BO56" s="213"/>
      <c r="BP56" s="213"/>
      <c r="BQ56" s="213"/>
      <c r="BR56" s="213"/>
      <c r="BS56" s="213"/>
      <c r="BT56" s="213"/>
      <c r="BU56" s="213"/>
      <c r="BV56" s="213"/>
      <c r="BW56" s="213"/>
      <c r="BX56" s="213"/>
      <c r="BY56" s="213"/>
      <c r="BZ56" s="213"/>
      <c r="CA56" s="213"/>
      <c r="CB56" s="213"/>
      <c r="CC56" s="213"/>
      <c r="CD56" s="213"/>
      <c r="CE56" s="213"/>
      <c r="CF56" s="213"/>
      <c r="CG56" s="213"/>
      <c r="CH56" s="213"/>
      <c r="CI56" s="213"/>
      <c r="CJ56" s="213"/>
      <c r="CK56" s="213"/>
      <c r="CL56" s="213"/>
      <c r="CM56" s="213"/>
      <c r="CN56" s="213"/>
      <c r="CO56" s="213"/>
      <c r="CP56" s="213"/>
      <c r="CQ56" s="213"/>
      <c r="CR56" s="213"/>
      <c r="CS56" s="213"/>
      <c r="CT56" s="213"/>
      <c r="CU56" s="213"/>
    </row>
    <row r="57" spans="1:99">
      <c r="A57" s="212"/>
      <c r="B57" s="212"/>
      <c r="C57" s="212"/>
      <c r="D57" s="212"/>
      <c r="E57" s="212"/>
      <c r="F57" s="212"/>
      <c r="G57" s="212"/>
      <c r="H57" s="212"/>
      <c r="I57" s="212"/>
      <c r="J57" s="300"/>
      <c r="K57" s="212"/>
      <c r="L57" s="212"/>
      <c r="M57" s="212"/>
      <c r="N57" s="212"/>
      <c r="O57" s="212"/>
      <c r="P57" s="213"/>
      <c r="Q57" s="213"/>
      <c r="R57" s="213"/>
      <c r="S57" s="213"/>
      <c r="T57" s="213"/>
      <c r="U57" s="213"/>
      <c r="V57" s="213"/>
      <c r="W57" s="213"/>
      <c r="X57" s="213"/>
      <c r="Y57" s="213"/>
      <c r="Z57" s="213"/>
      <c r="AA57" s="213"/>
      <c r="AB57" s="213"/>
      <c r="AC57" s="213"/>
      <c r="AD57" s="213"/>
      <c r="AE57" s="213"/>
      <c r="AF57" s="213"/>
      <c r="AG57" s="213"/>
      <c r="AH57" s="213"/>
      <c r="AI57" s="213"/>
      <c r="AJ57" s="213"/>
      <c r="AK57" s="213"/>
      <c r="AL57" s="213"/>
      <c r="AM57" s="213"/>
      <c r="AN57" s="213"/>
      <c r="AO57" s="213"/>
      <c r="AP57" s="213"/>
      <c r="AQ57" s="213"/>
      <c r="AR57" s="213"/>
      <c r="AS57" s="213"/>
      <c r="AT57" s="213"/>
      <c r="AU57" s="213"/>
      <c r="AV57" s="213"/>
      <c r="AW57" s="213"/>
      <c r="AX57" s="213"/>
      <c r="AY57" s="213"/>
      <c r="AZ57" s="213"/>
      <c r="BA57" s="213"/>
      <c r="BB57" s="213"/>
      <c r="BC57" s="213"/>
      <c r="BD57" s="213"/>
      <c r="BE57" s="213"/>
      <c r="BF57" s="213"/>
      <c r="BG57" s="213"/>
      <c r="BH57" s="213"/>
      <c r="BI57" s="213"/>
      <c r="BJ57" s="213"/>
      <c r="BK57" s="213"/>
      <c r="BL57" s="213"/>
      <c r="BM57" s="213"/>
      <c r="BN57" s="213"/>
      <c r="BO57" s="213"/>
      <c r="BP57" s="213"/>
      <c r="BQ57" s="213"/>
      <c r="BR57" s="213"/>
      <c r="BS57" s="213"/>
      <c r="BT57" s="213"/>
      <c r="BU57" s="213"/>
      <c r="BV57" s="213"/>
      <c r="BW57" s="213"/>
      <c r="BX57" s="213"/>
      <c r="BY57" s="213"/>
      <c r="BZ57" s="213"/>
      <c r="CA57" s="213"/>
      <c r="CB57" s="213"/>
      <c r="CC57" s="213"/>
      <c r="CD57" s="213"/>
      <c r="CE57" s="213"/>
      <c r="CF57" s="213"/>
      <c r="CG57" s="213"/>
      <c r="CH57" s="213"/>
      <c r="CI57" s="213"/>
      <c r="CJ57" s="213"/>
      <c r="CK57" s="213"/>
      <c r="CL57" s="213"/>
      <c r="CM57" s="213"/>
      <c r="CN57" s="213"/>
      <c r="CO57" s="213"/>
      <c r="CP57" s="213"/>
      <c r="CQ57" s="213"/>
      <c r="CR57" s="213"/>
      <c r="CS57" s="213"/>
      <c r="CT57" s="213"/>
      <c r="CU57" s="213"/>
    </row>
    <row r="58" spans="1:99">
      <c r="A58" s="212"/>
      <c r="B58" s="212"/>
      <c r="C58" s="212"/>
      <c r="D58" s="212"/>
      <c r="E58" s="212"/>
      <c r="F58" s="212"/>
      <c r="G58" s="212"/>
      <c r="H58" s="212"/>
      <c r="I58" s="212"/>
      <c r="J58" s="300"/>
      <c r="K58" s="212"/>
      <c r="L58" s="212"/>
      <c r="M58" s="212"/>
      <c r="N58" s="212"/>
      <c r="O58" s="212"/>
      <c r="P58" s="213"/>
      <c r="Q58" s="213"/>
      <c r="R58" s="213"/>
      <c r="S58" s="213"/>
      <c r="T58" s="213"/>
      <c r="U58" s="213"/>
      <c r="V58" s="213"/>
      <c r="W58" s="213"/>
      <c r="X58" s="213"/>
      <c r="Y58" s="213"/>
      <c r="Z58" s="213"/>
      <c r="AA58" s="213"/>
      <c r="AB58" s="213"/>
      <c r="AC58" s="213"/>
      <c r="AD58" s="213"/>
      <c r="AE58" s="213"/>
      <c r="AF58" s="213"/>
      <c r="AG58" s="213"/>
      <c r="AH58" s="213"/>
      <c r="AI58" s="213"/>
      <c r="AJ58" s="213"/>
      <c r="AK58" s="213"/>
      <c r="AL58" s="213"/>
      <c r="AM58" s="213"/>
      <c r="AN58" s="213"/>
      <c r="AO58" s="213"/>
      <c r="AP58" s="213"/>
      <c r="AQ58" s="213"/>
      <c r="AR58" s="213"/>
      <c r="AS58" s="213"/>
      <c r="AT58" s="213"/>
      <c r="AU58" s="213"/>
      <c r="AV58" s="213"/>
      <c r="AW58" s="213"/>
      <c r="AX58" s="213"/>
      <c r="AY58" s="213"/>
      <c r="AZ58" s="213"/>
      <c r="BA58" s="213"/>
      <c r="BB58" s="213"/>
      <c r="BC58" s="213"/>
      <c r="BD58" s="213"/>
      <c r="BE58" s="213"/>
      <c r="BF58" s="213"/>
      <c r="BG58" s="213"/>
      <c r="BH58" s="213"/>
      <c r="BI58" s="213"/>
      <c r="BJ58" s="213"/>
      <c r="BK58" s="213"/>
      <c r="BL58" s="213"/>
      <c r="BM58" s="213"/>
      <c r="BN58" s="213"/>
      <c r="BO58" s="213"/>
      <c r="BP58" s="213"/>
      <c r="BQ58" s="213"/>
      <c r="BR58" s="213"/>
      <c r="BS58" s="213"/>
      <c r="BT58" s="213"/>
      <c r="BU58" s="213"/>
      <c r="BV58" s="213"/>
      <c r="BW58" s="213"/>
      <c r="BX58" s="213"/>
      <c r="BY58" s="213"/>
      <c r="BZ58" s="213"/>
      <c r="CA58" s="213"/>
      <c r="CB58" s="213"/>
      <c r="CC58" s="213"/>
      <c r="CD58" s="213"/>
      <c r="CE58" s="213"/>
      <c r="CF58" s="213"/>
      <c r="CG58" s="213"/>
      <c r="CH58" s="213"/>
      <c r="CI58" s="213"/>
      <c r="CJ58" s="213"/>
      <c r="CK58" s="213"/>
      <c r="CL58" s="213"/>
      <c r="CM58" s="213"/>
      <c r="CN58" s="213"/>
      <c r="CO58" s="213"/>
      <c r="CP58" s="213"/>
      <c r="CQ58" s="213"/>
      <c r="CR58" s="213"/>
      <c r="CS58" s="213"/>
      <c r="CT58" s="213"/>
      <c r="CU58" s="213"/>
    </row>
    <row r="59" spans="1:99">
      <c r="A59" s="212"/>
      <c r="B59" s="212"/>
      <c r="C59" s="212"/>
      <c r="D59" s="212"/>
      <c r="E59" s="212"/>
      <c r="F59" s="212"/>
      <c r="G59" s="212"/>
      <c r="H59" s="212"/>
      <c r="I59" s="212"/>
      <c r="J59" s="300"/>
      <c r="K59" s="212"/>
      <c r="L59" s="212"/>
      <c r="M59" s="212"/>
      <c r="N59" s="212"/>
      <c r="O59" s="212"/>
      <c r="P59" s="213"/>
      <c r="Q59" s="213"/>
      <c r="R59" s="213"/>
      <c r="S59" s="213"/>
      <c r="T59" s="213"/>
      <c r="U59" s="213"/>
      <c r="V59" s="213"/>
      <c r="W59" s="213"/>
      <c r="X59" s="213"/>
      <c r="Y59" s="213"/>
      <c r="Z59" s="213"/>
      <c r="AA59" s="213"/>
      <c r="AB59" s="213"/>
      <c r="AC59" s="213"/>
      <c r="AD59" s="213"/>
      <c r="AE59" s="213"/>
      <c r="AF59" s="213"/>
      <c r="AG59" s="213"/>
      <c r="AH59" s="213"/>
      <c r="AI59" s="213"/>
      <c r="AJ59" s="213"/>
      <c r="AK59" s="213"/>
      <c r="AL59" s="213"/>
      <c r="AM59" s="213"/>
      <c r="AN59" s="213"/>
      <c r="AO59" s="213"/>
      <c r="AP59" s="213"/>
      <c r="AQ59" s="213"/>
      <c r="AR59" s="213"/>
      <c r="AS59" s="213"/>
      <c r="AT59" s="213"/>
      <c r="AU59" s="213"/>
      <c r="AV59" s="213"/>
      <c r="AW59" s="213"/>
      <c r="AX59" s="213"/>
      <c r="AY59" s="213"/>
      <c r="AZ59" s="213"/>
      <c r="BA59" s="213"/>
      <c r="BB59" s="213"/>
      <c r="BC59" s="213"/>
      <c r="BD59" s="213"/>
      <c r="BE59" s="213"/>
      <c r="BF59" s="213"/>
      <c r="BG59" s="213"/>
      <c r="BH59" s="213"/>
      <c r="BI59" s="213"/>
      <c r="BJ59" s="213"/>
      <c r="BK59" s="213"/>
      <c r="BL59" s="213"/>
      <c r="BM59" s="213"/>
      <c r="BN59" s="213"/>
      <c r="BO59" s="213"/>
      <c r="BP59" s="213"/>
      <c r="BQ59" s="213"/>
      <c r="BR59" s="213"/>
      <c r="BS59" s="213"/>
      <c r="BT59" s="213"/>
      <c r="BU59" s="213"/>
      <c r="BV59" s="213"/>
      <c r="BW59" s="213"/>
      <c r="BX59" s="213"/>
      <c r="BY59" s="213"/>
      <c r="BZ59" s="213"/>
      <c r="CA59" s="213"/>
      <c r="CB59" s="213"/>
      <c r="CC59" s="213"/>
      <c r="CD59" s="213"/>
      <c r="CE59" s="213"/>
      <c r="CF59" s="213"/>
      <c r="CG59" s="213"/>
      <c r="CH59" s="213"/>
      <c r="CI59" s="213"/>
      <c r="CJ59" s="213"/>
      <c r="CK59" s="213"/>
      <c r="CL59" s="213"/>
      <c r="CM59" s="213"/>
      <c r="CN59" s="213"/>
      <c r="CO59" s="213"/>
      <c r="CP59" s="213"/>
      <c r="CQ59" s="213"/>
      <c r="CR59" s="213"/>
      <c r="CS59" s="213"/>
      <c r="CT59" s="213"/>
      <c r="CU59" s="213"/>
    </row>
    <row r="60" spans="1:99">
      <c r="A60" s="212"/>
      <c r="B60" s="212"/>
      <c r="C60" s="212"/>
      <c r="D60" s="212"/>
      <c r="E60" s="212"/>
      <c r="F60" s="212"/>
      <c r="G60" s="212"/>
      <c r="H60" s="212"/>
      <c r="I60" s="212"/>
      <c r="J60" s="300"/>
      <c r="K60" s="212"/>
      <c r="L60" s="212"/>
      <c r="M60" s="212"/>
      <c r="N60" s="212"/>
      <c r="O60" s="212"/>
      <c r="P60" s="213"/>
      <c r="Q60" s="213"/>
      <c r="R60" s="213"/>
      <c r="S60" s="213"/>
      <c r="T60" s="213"/>
      <c r="U60" s="213"/>
      <c r="V60" s="213"/>
      <c r="W60" s="213"/>
      <c r="X60" s="213"/>
      <c r="Y60" s="213"/>
      <c r="Z60" s="213"/>
      <c r="AA60" s="213"/>
      <c r="AB60" s="213"/>
      <c r="AC60" s="213"/>
      <c r="AD60" s="213"/>
      <c r="AE60" s="213"/>
      <c r="AF60" s="213"/>
      <c r="AG60" s="213"/>
      <c r="AH60" s="213"/>
      <c r="AI60" s="213"/>
      <c r="AJ60" s="213"/>
      <c r="AK60" s="213"/>
      <c r="AL60" s="213"/>
      <c r="AM60" s="213"/>
      <c r="AN60" s="213"/>
      <c r="AO60" s="213"/>
      <c r="AP60" s="213"/>
      <c r="AQ60" s="213"/>
      <c r="AR60" s="213"/>
      <c r="AS60" s="213"/>
      <c r="AT60" s="213"/>
      <c r="AU60" s="213"/>
      <c r="AV60" s="213"/>
      <c r="AW60" s="213"/>
      <c r="AX60" s="213"/>
      <c r="AY60" s="213"/>
      <c r="AZ60" s="213"/>
      <c r="BA60" s="213"/>
      <c r="BB60" s="213"/>
      <c r="BC60" s="213"/>
      <c r="BD60" s="213"/>
      <c r="BE60" s="213"/>
      <c r="BF60" s="213"/>
      <c r="BG60" s="213"/>
      <c r="BH60" s="213"/>
      <c r="BI60" s="213"/>
      <c r="BJ60" s="213"/>
      <c r="BK60" s="213"/>
      <c r="BL60" s="213"/>
      <c r="BM60" s="213"/>
      <c r="BN60" s="213"/>
      <c r="BO60" s="213"/>
      <c r="BP60" s="213"/>
      <c r="BQ60" s="213"/>
      <c r="BR60" s="213"/>
      <c r="BS60" s="213"/>
      <c r="BT60" s="213"/>
      <c r="BU60" s="213"/>
      <c r="BV60" s="213"/>
      <c r="BW60" s="213"/>
      <c r="BX60" s="213"/>
      <c r="BY60" s="213"/>
      <c r="BZ60" s="213"/>
      <c r="CA60" s="213"/>
      <c r="CB60" s="213"/>
      <c r="CC60" s="213"/>
      <c r="CD60" s="213"/>
      <c r="CE60" s="213"/>
      <c r="CF60" s="213"/>
      <c r="CG60" s="213"/>
      <c r="CH60" s="213"/>
      <c r="CI60" s="213"/>
      <c r="CJ60" s="213"/>
      <c r="CK60" s="213"/>
      <c r="CL60" s="213"/>
      <c r="CM60" s="213"/>
      <c r="CN60" s="213"/>
      <c r="CO60" s="213"/>
      <c r="CP60" s="213"/>
      <c r="CQ60" s="213"/>
      <c r="CR60" s="213"/>
      <c r="CS60" s="213"/>
      <c r="CT60" s="213"/>
      <c r="CU60" s="213"/>
    </row>
    <row r="61" spans="1:99">
      <c r="A61" s="212"/>
      <c r="B61" s="212"/>
      <c r="C61" s="212"/>
      <c r="D61" s="212"/>
      <c r="E61" s="212"/>
      <c r="F61" s="212"/>
      <c r="G61" s="212"/>
      <c r="H61" s="212"/>
      <c r="I61" s="212"/>
      <c r="J61" s="300"/>
      <c r="K61" s="212"/>
      <c r="L61" s="212"/>
      <c r="M61" s="212"/>
      <c r="N61" s="212"/>
      <c r="O61" s="212"/>
      <c r="P61" s="213"/>
      <c r="Q61" s="213"/>
      <c r="R61" s="213"/>
      <c r="S61" s="213"/>
      <c r="T61" s="213"/>
      <c r="U61" s="213"/>
      <c r="V61" s="213"/>
      <c r="W61" s="213"/>
      <c r="X61" s="213"/>
      <c r="Y61" s="213"/>
      <c r="Z61" s="213"/>
      <c r="AA61" s="213"/>
      <c r="AB61" s="213"/>
      <c r="AC61" s="213"/>
      <c r="AD61" s="213"/>
      <c r="AE61" s="213"/>
      <c r="AF61" s="213"/>
      <c r="AG61" s="213"/>
      <c r="AH61" s="213"/>
      <c r="AI61" s="213"/>
      <c r="AJ61" s="213"/>
      <c r="AK61" s="213"/>
      <c r="AL61" s="213"/>
      <c r="AM61" s="213"/>
      <c r="AN61" s="213"/>
      <c r="AO61" s="213"/>
      <c r="AP61" s="213"/>
      <c r="AQ61" s="213"/>
      <c r="AR61" s="213"/>
      <c r="AS61" s="213"/>
      <c r="AT61" s="213"/>
      <c r="AU61" s="213"/>
      <c r="AV61" s="213"/>
      <c r="AW61" s="213"/>
      <c r="AX61" s="213"/>
      <c r="AY61" s="213"/>
      <c r="AZ61" s="213"/>
      <c r="BA61" s="213"/>
      <c r="BB61" s="213"/>
      <c r="BC61" s="213"/>
      <c r="BD61" s="213"/>
      <c r="BE61" s="213"/>
      <c r="BF61" s="213"/>
      <c r="BG61" s="213"/>
      <c r="BH61" s="213"/>
      <c r="BI61" s="213"/>
      <c r="BJ61" s="213"/>
      <c r="BK61" s="213"/>
      <c r="BL61" s="213"/>
      <c r="BM61" s="213"/>
      <c r="BN61" s="213"/>
      <c r="BO61" s="213"/>
      <c r="BP61" s="213"/>
      <c r="BQ61" s="213"/>
      <c r="BR61" s="213"/>
      <c r="BS61" s="213"/>
      <c r="BT61" s="213"/>
      <c r="BU61" s="213"/>
      <c r="BV61" s="213"/>
      <c r="BW61" s="213"/>
      <c r="BX61" s="213"/>
      <c r="BY61" s="213"/>
      <c r="BZ61" s="213"/>
      <c r="CA61" s="213"/>
      <c r="CB61" s="213"/>
      <c r="CC61" s="213"/>
      <c r="CD61" s="213"/>
      <c r="CE61" s="213"/>
      <c r="CF61" s="213"/>
      <c r="CG61" s="213"/>
      <c r="CH61" s="213"/>
      <c r="CI61" s="213"/>
      <c r="CJ61" s="213"/>
      <c r="CK61" s="213"/>
      <c r="CL61" s="213"/>
      <c r="CM61" s="213"/>
      <c r="CN61" s="213"/>
      <c r="CO61" s="213"/>
      <c r="CP61" s="213"/>
      <c r="CQ61" s="213"/>
      <c r="CR61" s="213"/>
      <c r="CS61" s="213"/>
      <c r="CT61" s="213"/>
      <c r="CU61" s="213"/>
    </row>
    <row r="62" spans="1:99">
      <c r="A62" s="212"/>
      <c r="B62" s="212"/>
      <c r="C62" s="212"/>
      <c r="D62" s="212"/>
      <c r="E62" s="212"/>
      <c r="F62" s="212"/>
      <c r="G62" s="212"/>
      <c r="H62" s="212"/>
      <c r="I62" s="212"/>
      <c r="J62" s="300"/>
      <c r="K62" s="212"/>
      <c r="L62" s="212"/>
      <c r="M62" s="212"/>
      <c r="N62" s="212"/>
      <c r="O62" s="212"/>
      <c r="P62" s="213"/>
      <c r="Q62" s="213"/>
      <c r="R62" s="213"/>
      <c r="S62" s="213"/>
      <c r="T62" s="213"/>
      <c r="U62" s="213"/>
      <c r="V62" s="213"/>
      <c r="W62" s="213"/>
      <c r="X62" s="213"/>
      <c r="Y62" s="213"/>
      <c r="Z62" s="213"/>
      <c r="AA62" s="213"/>
      <c r="AB62" s="213"/>
      <c r="AC62" s="213"/>
      <c r="AD62" s="213"/>
      <c r="AE62" s="213"/>
      <c r="AF62" s="213"/>
      <c r="AG62" s="213"/>
      <c r="AH62" s="213"/>
      <c r="AI62" s="213"/>
      <c r="AJ62" s="213"/>
      <c r="AK62" s="213"/>
      <c r="AL62" s="213"/>
      <c r="AM62" s="213"/>
      <c r="AN62" s="213"/>
      <c r="AO62" s="213"/>
      <c r="AP62" s="213"/>
      <c r="AQ62" s="213"/>
      <c r="AR62" s="213"/>
      <c r="AS62" s="213"/>
      <c r="AT62" s="213"/>
      <c r="AU62" s="213"/>
      <c r="AV62" s="213"/>
      <c r="AW62" s="213"/>
      <c r="AX62" s="213"/>
      <c r="AY62" s="213"/>
      <c r="AZ62" s="213"/>
      <c r="BA62" s="213"/>
      <c r="BB62" s="213"/>
      <c r="BC62" s="213"/>
      <c r="BD62" s="213"/>
      <c r="BE62" s="213"/>
      <c r="BF62" s="213"/>
      <c r="BG62" s="213"/>
      <c r="BH62" s="213"/>
      <c r="BI62" s="213"/>
      <c r="BJ62" s="213"/>
      <c r="BK62" s="213"/>
      <c r="BL62" s="213"/>
      <c r="BM62" s="213"/>
      <c r="BN62" s="213"/>
      <c r="BO62" s="213"/>
      <c r="BP62" s="213"/>
      <c r="BQ62" s="213"/>
      <c r="BR62" s="213"/>
      <c r="BS62" s="213"/>
      <c r="BT62" s="213"/>
      <c r="BU62" s="213"/>
      <c r="BV62" s="213"/>
      <c r="BW62" s="213"/>
      <c r="BX62" s="213"/>
      <c r="BY62" s="213"/>
      <c r="BZ62" s="213"/>
      <c r="CA62" s="213"/>
      <c r="CB62" s="213"/>
      <c r="CC62" s="213"/>
      <c r="CD62" s="213"/>
      <c r="CE62" s="213"/>
      <c r="CF62" s="213"/>
      <c r="CG62" s="213"/>
      <c r="CH62" s="213"/>
      <c r="CI62" s="213"/>
      <c r="CJ62" s="213"/>
      <c r="CK62" s="213"/>
      <c r="CL62" s="213"/>
      <c r="CM62" s="213"/>
      <c r="CN62" s="213"/>
      <c r="CO62" s="213"/>
      <c r="CP62" s="213"/>
      <c r="CQ62" s="213"/>
      <c r="CR62" s="213"/>
      <c r="CS62" s="213"/>
      <c r="CT62" s="213"/>
      <c r="CU62" s="213"/>
    </row>
    <row r="63" spans="1:99">
      <c r="A63" s="212"/>
      <c r="B63" s="212"/>
      <c r="C63" s="212"/>
      <c r="D63" s="212"/>
      <c r="E63" s="212"/>
      <c r="F63" s="212"/>
      <c r="G63" s="212"/>
      <c r="H63" s="212"/>
      <c r="I63" s="212"/>
      <c r="J63" s="300"/>
      <c r="K63" s="212"/>
      <c r="L63" s="212"/>
      <c r="M63" s="212"/>
      <c r="N63" s="212"/>
      <c r="O63" s="212"/>
      <c r="P63" s="213"/>
      <c r="Q63" s="213"/>
      <c r="R63" s="213"/>
      <c r="S63" s="213"/>
      <c r="T63" s="213"/>
      <c r="U63" s="213"/>
      <c r="V63" s="213"/>
      <c r="W63" s="213"/>
      <c r="X63" s="213"/>
      <c r="Y63" s="213"/>
      <c r="Z63" s="213"/>
      <c r="AA63" s="213"/>
      <c r="AB63" s="213"/>
      <c r="AC63" s="213"/>
      <c r="AD63" s="213"/>
      <c r="AE63" s="213"/>
      <c r="AF63" s="213"/>
      <c r="AG63" s="213"/>
      <c r="AH63" s="213"/>
      <c r="AI63" s="213"/>
      <c r="AJ63" s="213"/>
      <c r="AK63" s="213"/>
      <c r="AL63" s="213"/>
      <c r="AM63" s="213"/>
      <c r="AN63" s="213"/>
      <c r="AO63" s="213"/>
      <c r="AP63" s="213"/>
      <c r="AQ63" s="213"/>
      <c r="AR63" s="213"/>
      <c r="AS63" s="213"/>
      <c r="AT63" s="213"/>
      <c r="AU63" s="213"/>
      <c r="AV63" s="213"/>
      <c r="AW63" s="213"/>
      <c r="AX63" s="213"/>
      <c r="AY63" s="213"/>
      <c r="AZ63" s="213"/>
      <c r="BA63" s="213"/>
      <c r="BB63" s="213"/>
      <c r="BC63" s="213"/>
      <c r="BD63" s="213"/>
      <c r="BE63" s="213"/>
      <c r="BF63" s="213"/>
      <c r="BG63" s="213"/>
      <c r="BH63" s="213"/>
      <c r="BI63" s="213"/>
      <c r="BJ63" s="213"/>
      <c r="BK63" s="213"/>
      <c r="BL63" s="213"/>
      <c r="BM63" s="213"/>
      <c r="BN63" s="213"/>
      <c r="BO63" s="213"/>
      <c r="BP63" s="213"/>
      <c r="BQ63" s="213"/>
      <c r="BR63" s="213"/>
      <c r="BS63" s="213"/>
      <c r="BT63" s="213"/>
      <c r="BU63" s="213"/>
      <c r="BV63" s="213"/>
      <c r="BW63" s="213"/>
      <c r="BX63" s="213"/>
      <c r="BY63" s="213"/>
      <c r="BZ63" s="213"/>
      <c r="CA63" s="213"/>
      <c r="CB63" s="213"/>
      <c r="CC63" s="213"/>
      <c r="CD63" s="213"/>
      <c r="CE63" s="213"/>
      <c r="CF63" s="213"/>
      <c r="CG63" s="213"/>
      <c r="CH63" s="213"/>
      <c r="CI63" s="213"/>
      <c r="CJ63" s="213"/>
      <c r="CK63" s="213"/>
      <c r="CL63" s="213"/>
      <c r="CM63" s="213"/>
      <c r="CN63" s="213"/>
      <c r="CO63" s="213"/>
      <c r="CP63" s="213"/>
      <c r="CQ63" s="213"/>
      <c r="CR63" s="213"/>
      <c r="CS63" s="213"/>
      <c r="CT63" s="213"/>
      <c r="CU63" s="213"/>
    </row>
    <row r="64" spans="1:99">
      <c r="A64" s="212"/>
      <c r="B64" s="212"/>
      <c r="C64" s="212"/>
      <c r="D64" s="212"/>
      <c r="E64" s="212"/>
      <c r="F64" s="212"/>
      <c r="G64" s="212"/>
      <c r="H64" s="212"/>
      <c r="I64" s="212"/>
      <c r="J64" s="300"/>
      <c r="K64" s="212"/>
      <c r="L64" s="212"/>
      <c r="M64" s="212"/>
      <c r="N64" s="212"/>
      <c r="O64" s="212"/>
      <c r="P64" s="213"/>
      <c r="Q64" s="213"/>
      <c r="R64" s="213"/>
      <c r="S64" s="213"/>
      <c r="T64" s="213"/>
      <c r="U64" s="213"/>
      <c r="V64" s="213"/>
      <c r="W64" s="213"/>
      <c r="X64" s="213"/>
      <c r="Y64" s="213"/>
      <c r="Z64" s="213"/>
      <c r="AA64" s="213"/>
      <c r="AB64" s="213"/>
      <c r="AC64" s="213"/>
      <c r="AD64" s="213"/>
      <c r="AE64" s="213"/>
      <c r="AF64" s="213"/>
      <c r="AG64" s="213"/>
      <c r="AH64" s="213"/>
      <c r="AI64" s="213"/>
      <c r="AJ64" s="213"/>
      <c r="AK64" s="213"/>
      <c r="AL64" s="213"/>
      <c r="AM64" s="213"/>
      <c r="AN64" s="213"/>
      <c r="AO64" s="213"/>
      <c r="AP64" s="213"/>
      <c r="AQ64" s="213"/>
      <c r="AR64" s="213"/>
      <c r="AS64" s="213"/>
      <c r="AT64" s="213"/>
      <c r="AU64" s="213"/>
      <c r="AV64" s="213"/>
      <c r="AW64" s="213"/>
      <c r="AX64" s="213"/>
      <c r="AY64" s="213"/>
      <c r="AZ64" s="213"/>
      <c r="BA64" s="213"/>
      <c r="BB64" s="213"/>
      <c r="BC64" s="213"/>
      <c r="BD64" s="213"/>
      <c r="BE64" s="213"/>
      <c r="BF64" s="213"/>
      <c r="BG64" s="213"/>
      <c r="BH64" s="213"/>
      <c r="BI64" s="213"/>
      <c r="BJ64" s="213"/>
      <c r="BK64" s="213"/>
      <c r="BL64" s="213"/>
      <c r="BM64" s="213"/>
      <c r="BN64" s="213"/>
      <c r="BO64" s="213"/>
      <c r="BP64" s="213"/>
      <c r="BQ64" s="213"/>
      <c r="BR64" s="213"/>
      <c r="BS64" s="213"/>
      <c r="BT64" s="213"/>
      <c r="BU64" s="213"/>
      <c r="BV64" s="213"/>
      <c r="BW64" s="213"/>
      <c r="BX64" s="213"/>
      <c r="BY64" s="213"/>
      <c r="BZ64" s="213"/>
      <c r="CA64" s="213"/>
      <c r="CB64" s="213"/>
      <c r="CC64" s="213"/>
      <c r="CD64" s="213"/>
      <c r="CE64" s="213"/>
      <c r="CF64" s="213"/>
      <c r="CG64" s="213"/>
      <c r="CH64" s="213"/>
      <c r="CI64" s="213"/>
      <c r="CJ64" s="213"/>
      <c r="CK64" s="213"/>
      <c r="CL64" s="213"/>
      <c r="CM64" s="213"/>
      <c r="CN64" s="213"/>
      <c r="CO64" s="213"/>
      <c r="CP64" s="213"/>
      <c r="CQ64" s="213"/>
      <c r="CR64" s="213"/>
      <c r="CS64" s="213"/>
      <c r="CT64" s="213"/>
      <c r="CU64" s="213"/>
    </row>
    <row r="65" spans="1:99">
      <c r="A65" s="212"/>
      <c r="B65" s="212"/>
      <c r="C65" s="212"/>
      <c r="D65" s="212"/>
      <c r="E65" s="212"/>
      <c r="F65" s="212"/>
      <c r="G65" s="212"/>
      <c r="H65" s="212"/>
      <c r="I65" s="212"/>
      <c r="J65" s="300"/>
      <c r="K65" s="212"/>
      <c r="L65" s="212"/>
      <c r="M65" s="212"/>
      <c r="N65" s="212"/>
      <c r="O65" s="212"/>
      <c r="P65" s="213"/>
      <c r="Q65" s="213"/>
      <c r="R65" s="213"/>
      <c r="S65" s="213"/>
      <c r="T65" s="213"/>
      <c r="U65" s="213"/>
      <c r="V65" s="213"/>
      <c r="W65" s="213"/>
      <c r="X65" s="213"/>
      <c r="Y65" s="213"/>
      <c r="Z65" s="213"/>
      <c r="AA65" s="213"/>
      <c r="AB65" s="213"/>
      <c r="AC65" s="213"/>
      <c r="AD65" s="213"/>
      <c r="AE65" s="213"/>
      <c r="AF65" s="213"/>
      <c r="AG65" s="213"/>
      <c r="AH65" s="213"/>
      <c r="AI65" s="213"/>
      <c r="AJ65" s="213"/>
      <c r="AK65" s="213"/>
      <c r="AL65" s="213"/>
      <c r="AM65" s="213"/>
      <c r="AN65" s="213"/>
      <c r="AO65" s="213"/>
      <c r="AP65" s="213"/>
      <c r="AQ65" s="213"/>
      <c r="AR65" s="213"/>
      <c r="AS65" s="213"/>
      <c r="AT65" s="213"/>
      <c r="AU65" s="213"/>
      <c r="AV65" s="213"/>
      <c r="AW65" s="213"/>
      <c r="AX65" s="213"/>
      <c r="AY65" s="213"/>
      <c r="AZ65" s="213"/>
      <c r="BA65" s="213"/>
      <c r="BB65" s="213"/>
      <c r="BC65" s="213"/>
      <c r="BD65" s="213"/>
      <c r="BE65" s="213"/>
      <c r="BF65" s="213"/>
      <c r="BG65" s="213"/>
      <c r="BH65" s="213"/>
      <c r="BI65" s="213"/>
      <c r="BJ65" s="213"/>
      <c r="BK65" s="213"/>
      <c r="BL65" s="213"/>
      <c r="BM65" s="213"/>
      <c r="BN65" s="213"/>
      <c r="BO65" s="213"/>
      <c r="BP65" s="213"/>
      <c r="BQ65" s="213"/>
      <c r="BR65" s="213"/>
      <c r="BS65" s="213"/>
      <c r="BT65" s="213"/>
      <c r="BU65" s="213"/>
      <c r="BV65" s="213"/>
      <c r="BW65" s="213"/>
      <c r="BX65" s="213"/>
      <c r="BY65" s="213"/>
      <c r="BZ65" s="213"/>
      <c r="CA65" s="213"/>
      <c r="CB65" s="213"/>
      <c r="CC65" s="213"/>
      <c r="CD65" s="213"/>
      <c r="CE65" s="213"/>
      <c r="CF65" s="213"/>
      <c r="CG65" s="213"/>
      <c r="CH65" s="213"/>
      <c r="CI65" s="213"/>
      <c r="CJ65" s="213"/>
      <c r="CK65" s="213"/>
      <c r="CL65" s="213"/>
      <c r="CM65" s="213"/>
      <c r="CN65" s="213"/>
      <c r="CO65" s="213"/>
      <c r="CP65" s="213"/>
      <c r="CQ65" s="213"/>
      <c r="CR65" s="213"/>
      <c r="CS65" s="213"/>
      <c r="CT65" s="213"/>
      <c r="CU65" s="213"/>
    </row>
    <row r="66" spans="1:99">
      <c r="A66" s="212"/>
      <c r="B66" s="212"/>
      <c r="C66" s="212"/>
      <c r="D66" s="212"/>
      <c r="E66" s="212"/>
      <c r="F66" s="212"/>
      <c r="G66" s="212"/>
      <c r="H66" s="212"/>
      <c r="I66" s="212"/>
      <c r="J66" s="300"/>
      <c r="K66" s="212"/>
      <c r="L66" s="212"/>
      <c r="M66" s="212"/>
      <c r="N66" s="212"/>
      <c r="O66" s="212"/>
      <c r="P66" s="213"/>
      <c r="Q66" s="213"/>
      <c r="R66" s="213"/>
      <c r="S66" s="213"/>
      <c r="T66" s="213"/>
      <c r="U66" s="213"/>
      <c r="V66" s="213"/>
      <c r="W66" s="213"/>
      <c r="X66" s="213"/>
      <c r="Y66" s="213"/>
      <c r="Z66" s="213"/>
      <c r="AA66" s="213"/>
      <c r="AB66" s="213"/>
      <c r="AC66" s="213"/>
      <c r="AD66" s="213"/>
      <c r="AE66" s="213"/>
      <c r="AF66" s="213"/>
      <c r="AG66" s="213"/>
      <c r="AH66" s="213"/>
      <c r="AI66" s="213"/>
      <c r="AJ66" s="213"/>
      <c r="AK66" s="213"/>
      <c r="AL66" s="213"/>
      <c r="AM66" s="213"/>
      <c r="AN66" s="213"/>
      <c r="AO66" s="213"/>
      <c r="AP66" s="213"/>
      <c r="AQ66" s="213"/>
      <c r="AR66" s="213"/>
      <c r="AS66" s="213"/>
      <c r="AT66" s="213"/>
      <c r="AU66" s="213"/>
      <c r="AV66" s="213"/>
      <c r="AW66" s="213"/>
      <c r="AX66" s="213"/>
      <c r="AY66" s="213"/>
      <c r="AZ66" s="213"/>
      <c r="BA66" s="213"/>
      <c r="BB66" s="213"/>
      <c r="BC66" s="213"/>
      <c r="BD66" s="213"/>
      <c r="BE66" s="213"/>
      <c r="BF66" s="213"/>
      <c r="BG66" s="213"/>
      <c r="BH66" s="213"/>
      <c r="BI66" s="213"/>
      <c r="BJ66" s="213"/>
      <c r="BK66" s="213"/>
      <c r="BL66" s="213"/>
      <c r="BM66" s="213"/>
      <c r="BN66" s="213"/>
      <c r="BO66" s="213"/>
      <c r="BP66" s="213"/>
      <c r="BQ66" s="213"/>
      <c r="BR66" s="213"/>
      <c r="BS66" s="213"/>
      <c r="BT66" s="213"/>
      <c r="BU66" s="213"/>
      <c r="BV66" s="213"/>
      <c r="BW66" s="213"/>
      <c r="BX66" s="213"/>
      <c r="BY66" s="213"/>
      <c r="BZ66" s="213"/>
      <c r="CA66" s="213"/>
      <c r="CB66" s="213"/>
      <c r="CC66" s="213"/>
      <c r="CD66" s="213"/>
      <c r="CE66" s="213"/>
      <c r="CF66" s="213"/>
      <c r="CG66" s="213"/>
      <c r="CH66" s="213"/>
      <c r="CI66" s="213"/>
      <c r="CJ66" s="213"/>
      <c r="CK66" s="213"/>
      <c r="CL66" s="213"/>
      <c r="CM66" s="213"/>
      <c r="CN66" s="213"/>
      <c r="CO66" s="213"/>
      <c r="CP66" s="213"/>
      <c r="CQ66" s="213"/>
      <c r="CR66" s="213"/>
      <c r="CS66" s="213"/>
      <c r="CT66" s="213"/>
      <c r="CU66" s="213"/>
    </row>
    <row r="67" spans="1:99">
      <c r="A67" s="212"/>
      <c r="B67" s="212"/>
      <c r="C67" s="212"/>
      <c r="D67" s="212"/>
      <c r="E67" s="212"/>
      <c r="F67" s="212"/>
      <c r="G67" s="212"/>
      <c r="H67" s="212"/>
      <c r="I67" s="212"/>
      <c r="J67" s="300"/>
      <c r="K67" s="212"/>
      <c r="L67" s="212"/>
      <c r="M67" s="212"/>
      <c r="N67" s="212"/>
      <c r="O67" s="212"/>
      <c r="P67" s="213"/>
      <c r="Q67" s="213"/>
      <c r="R67" s="213"/>
      <c r="S67" s="213"/>
      <c r="T67" s="213"/>
      <c r="U67" s="213"/>
      <c r="V67" s="213"/>
      <c r="W67" s="213"/>
      <c r="X67" s="213"/>
      <c r="Y67" s="213"/>
      <c r="Z67" s="213"/>
      <c r="AA67" s="213"/>
      <c r="AB67" s="213"/>
      <c r="AC67" s="213"/>
      <c r="AD67" s="213"/>
      <c r="AE67" s="213"/>
      <c r="AF67" s="213"/>
      <c r="AG67" s="213"/>
      <c r="AH67" s="213"/>
      <c r="AI67" s="213"/>
      <c r="AJ67" s="213"/>
      <c r="AK67" s="213"/>
      <c r="AL67" s="213"/>
      <c r="AM67" s="213"/>
      <c r="AN67" s="213"/>
      <c r="AO67" s="213"/>
      <c r="AP67" s="213"/>
      <c r="AQ67" s="213"/>
      <c r="AR67" s="213"/>
      <c r="AS67" s="213"/>
      <c r="AT67" s="213"/>
      <c r="AU67" s="213"/>
      <c r="AV67" s="213"/>
      <c r="AW67" s="213"/>
      <c r="AX67" s="213"/>
      <c r="AY67" s="213"/>
      <c r="AZ67" s="213"/>
      <c r="BA67" s="213"/>
      <c r="BB67" s="213"/>
      <c r="BC67" s="213"/>
      <c r="BD67" s="213"/>
      <c r="BE67" s="213"/>
      <c r="BF67" s="213"/>
      <c r="BG67" s="213"/>
      <c r="BH67" s="213"/>
      <c r="BI67" s="213"/>
      <c r="BJ67" s="213"/>
      <c r="BK67" s="213"/>
      <c r="BL67" s="213"/>
      <c r="BM67" s="213"/>
      <c r="BN67" s="213"/>
      <c r="BO67" s="213"/>
      <c r="BP67" s="213"/>
      <c r="BQ67" s="213"/>
      <c r="BR67" s="213"/>
      <c r="BS67" s="213"/>
      <c r="BT67" s="213"/>
      <c r="BU67" s="213"/>
      <c r="BV67" s="213"/>
      <c r="BW67" s="213"/>
      <c r="BX67" s="213"/>
      <c r="BY67" s="213"/>
      <c r="BZ67" s="213"/>
      <c r="CA67" s="213"/>
      <c r="CB67" s="213"/>
      <c r="CC67" s="213"/>
      <c r="CD67" s="213"/>
      <c r="CE67" s="213"/>
      <c r="CF67" s="213"/>
      <c r="CG67" s="213"/>
      <c r="CH67" s="213"/>
      <c r="CI67" s="213"/>
      <c r="CJ67" s="213"/>
      <c r="CK67" s="213"/>
      <c r="CL67" s="213"/>
      <c r="CM67" s="213"/>
      <c r="CN67" s="213"/>
      <c r="CO67" s="213"/>
      <c r="CP67" s="213"/>
      <c r="CQ67" s="213"/>
      <c r="CR67" s="213"/>
      <c r="CS67" s="213"/>
      <c r="CT67" s="213"/>
      <c r="CU67" s="213"/>
    </row>
    <row r="68" spans="1:99">
      <c r="A68" s="212"/>
      <c r="B68" s="212"/>
      <c r="C68" s="212"/>
      <c r="D68" s="212"/>
      <c r="E68" s="212"/>
      <c r="F68" s="212"/>
      <c r="G68" s="212"/>
      <c r="H68" s="212"/>
      <c r="I68" s="212"/>
      <c r="J68" s="300"/>
      <c r="K68" s="212"/>
      <c r="L68" s="212"/>
      <c r="M68" s="212"/>
      <c r="N68" s="212"/>
      <c r="O68" s="212"/>
      <c r="P68" s="213"/>
      <c r="Q68" s="213"/>
      <c r="R68" s="213"/>
      <c r="S68" s="213"/>
      <c r="T68" s="213"/>
      <c r="U68" s="213"/>
      <c r="V68" s="213"/>
      <c r="W68" s="213"/>
      <c r="X68" s="213"/>
      <c r="Y68" s="213"/>
      <c r="Z68" s="213"/>
      <c r="AA68" s="213"/>
      <c r="AB68" s="213"/>
      <c r="AC68" s="213"/>
      <c r="AD68" s="213"/>
      <c r="AE68" s="213"/>
      <c r="AF68" s="213"/>
      <c r="AG68" s="213"/>
      <c r="AH68" s="213"/>
      <c r="AI68" s="213"/>
      <c r="AJ68" s="213"/>
      <c r="AK68" s="213"/>
      <c r="AL68" s="213"/>
      <c r="AM68" s="213"/>
      <c r="AN68" s="213"/>
      <c r="AO68" s="213"/>
      <c r="AP68" s="213"/>
      <c r="AQ68" s="213"/>
      <c r="AR68" s="213"/>
      <c r="AS68" s="213"/>
      <c r="AT68" s="213"/>
      <c r="AU68" s="213"/>
      <c r="AV68" s="213"/>
      <c r="AW68" s="213"/>
      <c r="AX68" s="213"/>
      <c r="AY68" s="213"/>
      <c r="AZ68" s="213"/>
      <c r="BA68" s="213"/>
      <c r="BB68" s="213"/>
      <c r="BC68" s="213"/>
      <c r="BD68" s="213"/>
      <c r="BE68" s="213"/>
      <c r="BF68" s="213"/>
      <c r="BG68" s="213"/>
      <c r="BH68" s="213"/>
      <c r="BI68" s="213"/>
      <c r="BJ68" s="213"/>
      <c r="BK68" s="213"/>
      <c r="BL68" s="213"/>
      <c r="BM68" s="213"/>
      <c r="BN68" s="213"/>
      <c r="BO68" s="213"/>
      <c r="BP68" s="213"/>
      <c r="BQ68" s="213"/>
      <c r="BR68" s="213"/>
      <c r="BS68" s="213"/>
      <c r="BT68" s="213"/>
      <c r="BU68" s="213"/>
      <c r="BV68" s="213"/>
      <c r="BW68" s="213"/>
      <c r="BX68" s="213"/>
      <c r="BY68" s="213"/>
      <c r="BZ68" s="213"/>
      <c r="CA68" s="213"/>
      <c r="CB68" s="213"/>
      <c r="CC68" s="213"/>
      <c r="CD68" s="213"/>
      <c r="CE68" s="213"/>
      <c r="CF68" s="213"/>
      <c r="CG68" s="213"/>
      <c r="CH68" s="213"/>
      <c r="CI68" s="213"/>
      <c r="CJ68" s="213"/>
      <c r="CK68" s="213"/>
      <c r="CL68" s="213"/>
      <c r="CM68" s="213"/>
      <c r="CN68" s="213"/>
      <c r="CO68" s="213"/>
      <c r="CP68" s="213"/>
      <c r="CQ68" s="213"/>
      <c r="CR68" s="213"/>
      <c r="CS68" s="213"/>
      <c r="CT68" s="213"/>
      <c r="CU68" s="213"/>
    </row>
    <row r="69" spans="1:99">
      <c r="A69" s="212"/>
      <c r="B69" s="212"/>
      <c r="C69" s="212"/>
      <c r="D69" s="212"/>
      <c r="E69" s="212"/>
      <c r="F69" s="212"/>
      <c r="G69" s="212"/>
      <c r="H69" s="212"/>
      <c r="I69" s="212"/>
      <c r="J69" s="300"/>
      <c r="K69" s="212"/>
      <c r="L69" s="212"/>
      <c r="M69" s="212"/>
      <c r="N69" s="212"/>
      <c r="O69" s="212"/>
      <c r="P69" s="213"/>
      <c r="Q69" s="213"/>
      <c r="R69" s="213"/>
      <c r="S69" s="213"/>
      <c r="T69" s="213"/>
      <c r="U69" s="213"/>
      <c r="V69" s="213"/>
      <c r="W69" s="213"/>
      <c r="X69" s="213"/>
      <c r="Y69" s="213"/>
      <c r="Z69" s="213"/>
      <c r="AA69" s="213"/>
      <c r="AB69" s="213"/>
      <c r="AC69" s="213"/>
      <c r="AD69" s="213"/>
      <c r="AE69" s="213"/>
      <c r="AF69" s="213"/>
      <c r="AG69" s="213"/>
      <c r="AH69" s="213"/>
      <c r="AI69" s="213"/>
      <c r="AJ69" s="213"/>
      <c r="AK69" s="213"/>
      <c r="AL69" s="213"/>
      <c r="AM69" s="213"/>
      <c r="AN69" s="213"/>
      <c r="AO69" s="213"/>
      <c r="AP69" s="213"/>
      <c r="AQ69" s="213"/>
      <c r="AR69" s="213"/>
      <c r="AS69" s="213"/>
      <c r="AT69" s="213"/>
      <c r="AU69" s="213"/>
      <c r="AV69" s="213"/>
      <c r="AW69" s="213"/>
      <c r="AX69" s="213"/>
      <c r="AY69" s="213"/>
      <c r="AZ69" s="213"/>
      <c r="BA69" s="213"/>
      <c r="BB69" s="213"/>
      <c r="BC69" s="213"/>
      <c r="BD69" s="213"/>
      <c r="BE69" s="213"/>
      <c r="BF69" s="213"/>
      <c r="BG69" s="213"/>
      <c r="BH69" s="213"/>
      <c r="BI69" s="213"/>
      <c r="BJ69" s="213"/>
      <c r="BK69" s="213"/>
      <c r="BL69" s="213"/>
      <c r="BM69" s="213"/>
      <c r="BN69" s="213"/>
      <c r="BO69" s="213"/>
      <c r="BP69" s="213"/>
      <c r="BQ69" s="213"/>
      <c r="BR69" s="213"/>
      <c r="BS69" s="213"/>
      <c r="BT69" s="213"/>
      <c r="BU69" s="213"/>
      <c r="BV69" s="213"/>
      <c r="BW69" s="213"/>
      <c r="BX69" s="213"/>
      <c r="BY69" s="213"/>
      <c r="BZ69" s="213"/>
      <c r="CA69" s="213"/>
      <c r="CB69" s="213"/>
      <c r="CC69" s="213"/>
      <c r="CD69" s="213"/>
      <c r="CE69" s="213"/>
      <c r="CF69" s="213"/>
      <c r="CG69" s="213"/>
      <c r="CH69" s="213"/>
      <c r="CI69" s="213"/>
      <c r="CJ69" s="213"/>
      <c r="CK69" s="213"/>
      <c r="CL69" s="213"/>
      <c r="CM69" s="213"/>
      <c r="CN69" s="213"/>
      <c r="CO69" s="213"/>
      <c r="CP69" s="213"/>
      <c r="CQ69" s="213"/>
      <c r="CR69" s="213"/>
      <c r="CS69" s="213"/>
      <c r="CT69" s="213"/>
      <c r="CU69" s="213"/>
    </row>
    <row r="70" spans="1:99">
      <c r="A70" s="212"/>
      <c r="B70" s="212"/>
      <c r="C70" s="212"/>
      <c r="D70" s="212"/>
      <c r="E70" s="212"/>
      <c r="F70" s="212"/>
      <c r="G70" s="212"/>
      <c r="H70" s="212"/>
      <c r="I70" s="212"/>
      <c r="J70" s="300"/>
      <c r="K70" s="212"/>
      <c r="L70" s="212"/>
      <c r="M70" s="212"/>
      <c r="N70" s="212"/>
      <c r="O70" s="212"/>
      <c r="P70" s="213"/>
      <c r="Q70" s="213"/>
      <c r="R70" s="213"/>
      <c r="S70" s="213"/>
      <c r="T70" s="213"/>
      <c r="U70" s="213"/>
      <c r="V70" s="213"/>
      <c r="W70" s="213"/>
      <c r="X70" s="213"/>
      <c r="Y70" s="213"/>
      <c r="Z70" s="213"/>
      <c r="AA70" s="213"/>
      <c r="AB70" s="213"/>
      <c r="AC70" s="213"/>
      <c r="AD70" s="213"/>
      <c r="AE70" s="213"/>
      <c r="AF70" s="213"/>
      <c r="AG70" s="213"/>
      <c r="AH70" s="213"/>
      <c r="AI70" s="213"/>
      <c r="AJ70" s="213"/>
      <c r="AK70" s="213"/>
      <c r="AL70" s="213"/>
      <c r="AM70" s="213"/>
      <c r="AN70" s="213"/>
      <c r="AO70" s="213"/>
      <c r="AP70" s="213"/>
      <c r="AQ70" s="213"/>
      <c r="AR70" s="213"/>
      <c r="AS70" s="213"/>
      <c r="AT70" s="213"/>
      <c r="AU70" s="213"/>
      <c r="AV70" s="213"/>
      <c r="AW70" s="213"/>
      <c r="AX70" s="213"/>
      <c r="AY70" s="213"/>
      <c r="AZ70" s="213"/>
      <c r="BA70" s="213"/>
      <c r="BB70" s="213"/>
      <c r="BC70" s="213"/>
      <c r="BD70" s="213"/>
      <c r="BE70" s="213"/>
      <c r="BF70" s="213"/>
      <c r="BG70" s="213"/>
      <c r="BH70" s="213"/>
      <c r="BI70" s="213"/>
      <c r="BJ70" s="213"/>
      <c r="BK70" s="213"/>
      <c r="BL70" s="213"/>
      <c r="BM70" s="213"/>
      <c r="BN70" s="213"/>
      <c r="BO70" s="213"/>
      <c r="BP70" s="213"/>
      <c r="BQ70" s="213"/>
      <c r="BR70" s="213"/>
      <c r="BS70" s="213"/>
      <c r="BT70" s="213"/>
      <c r="BU70" s="213"/>
      <c r="BV70" s="213"/>
      <c r="BW70" s="213"/>
      <c r="BX70" s="213"/>
      <c r="BY70" s="213"/>
      <c r="BZ70" s="213"/>
      <c r="CA70" s="213"/>
      <c r="CB70" s="213"/>
      <c r="CC70" s="213"/>
      <c r="CD70" s="213"/>
      <c r="CE70" s="213"/>
      <c r="CF70" s="213"/>
      <c r="CG70" s="213"/>
      <c r="CH70" s="213"/>
      <c r="CI70" s="213"/>
      <c r="CJ70" s="213"/>
      <c r="CK70" s="213"/>
      <c r="CL70" s="213"/>
      <c r="CM70" s="213"/>
      <c r="CN70" s="213"/>
      <c r="CO70" s="213"/>
      <c r="CP70" s="213"/>
      <c r="CQ70" s="213"/>
      <c r="CR70" s="213"/>
      <c r="CS70" s="213"/>
      <c r="CT70" s="213"/>
      <c r="CU70" s="213"/>
    </row>
    <row r="71" spans="1:99">
      <c r="A71" s="212"/>
      <c r="B71" s="212"/>
      <c r="C71" s="212"/>
      <c r="D71" s="212"/>
      <c r="E71" s="212"/>
      <c r="F71" s="212"/>
      <c r="G71" s="212"/>
      <c r="H71" s="212"/>
      <c r="I71" s="212"/>
      <c r="J71" s="300"/>
      <c r="K71" s="212"/>
      <c r="L71" s="212"/>
      <c r="M71" s="212"/>
      <c r="N71" s="212"/>
      <c r="O71" s="212"/>
      <c r="P71" s="213"/>
      <c r="Q71" s="213"/>
      <c r="R71" s="213"/>
      <c r="S71" s="213"/>
      <c r="T71" s="213"/>
      <c r="U71" s="213"/>
      <c r="V71" s="213"/>
      <c r="W71" s="213"/>
      <c r="X71" s="213"/>
      <c r="Y71" s="213"/>
      <c r="Z71" s="213"/>
      <c r="AA71" s="213"/>
      <c r="AB71" s="213"/>
      <c r="AC71" s="213"/>
      <c r="AD71" s="213"/>
      <c r="AE71" s="213"/>
      <c r="AF71" s="213"/>
      <c r="AG71" s="213"/>
      <c r="AH71" s="213"/>
      <c r="AI71" s="213"/>
      <c r="AJ71" s="213"/>
      <c r="AK71" s="213"/>
      <c r="AL71" s="213"/>
      <c r="AM71" s="213"/>
      <c r="AN71" s="213"/>
      <c r="AO71" s="213"/>
      <c r="AP71" s="213"/>
      <c r="AQ71" s="213"/>
      <c r="AR71" s="213"/>
      <c r="AS71" s="213"/>
      <c r="AT71" s="213"/>
      <c r="AU71" s="213"/>
      <c r="AV71" s="213"/>
      <c r="AW71" s="213"/>
      <c r="AX71" s="213"/>
      <c r="AY71" s="213"/>
      <c r="AZ71" s="213"/>
      <c r="BA71" s="213"/>
      <c r="BB71" s="213"/>
      <c r="BC71" s="213"/>
      <c r="BD71" s="213"/>
      <c r="BE71" s="213"/>
      <c r="BF71" s="213"/>
      <c r="BG71" s="213"/>
      <c r="BH71" s="213"/>
      <c r="BI71" s="213"/>
      <c r="BJ71" s="213"/>
      <c r="BK71" s="213"/>
      <c r="BL71" s="213"/>
      <c r="BM71" s="213"/>
      <c r="BN71" s="213"/>
      <c r="BO71" s="213"/>
      <c r="BP71" s="213"/>
      <c r="BQ71" s="213"/>
      <c r="BR71" s="213"/>
      <c r="BS71" s="213"/>
      <c r="BT71" s="213"/>
      <c r="BU71" s="213"/>
      <c r="BV71" s="213"/>
      <c r="BW71" s="213"/>
      <c r="BX71" s="213"/>
      <c r="BY71" s="213"/>
      <c r="BZ71" s="213"/>
      <c r="CA71" s="213"/>
      <c r="CB71" s="213"/>
      <c r="CC71" s="213"/>
      <c r="CD71" s="213"/>
      <c r="CE71" s="213"/>
      <c r="CF71" s="213"/>
      <c r="CG71" s="213"/>
      <c r="CH71" s="213"/>
      <c r="CI71" s="213"/>
      <c r="CJ71" s="213"/>
      <c r="CK71" s="213"/>
      <c r="CL71" s="213"/>
      <c r="CM71" s="213"/>
      <c r="CN71" s="213"/>
      <c r="CO71" s="213"/>
      <c r="CP71" s="213"/>
      <c r="CQ71" s="213"/>
      <c r="CR71" s="213"/>
      <c r="CS71" s="213"/>
      <c r="CT71" s="213"/>
      <c r="CU71" s="213"/>
    </row>
    <row r="72" spans="1:99">
      <c r="A72" s="212"/>
      <c r="B72" s="212"/>
      <c r="C72" s="212"/>
      <c r="D72" s="212"/>
      <c r="E72" s="212"/>
      <c r="F72" s="212"/>
      <c r="G72" s="212"/>
      <c r="H72" s="212"/>
      <c r="I72" s="212"/>
      <c r="J72" s="300"/>
      <c r="K72" s="212"/>
      <c r="L72" s="212"/>
      <c r="M72" s="212"/>
      <c r="N72" s="212"/>
      <c r="O72" s="212"/>
      <c r="P72" s="213"/>
      <c r="Q72" s="213"/>
      <c r="R72" s="213"/>
      <c r="S72" s="213"/>
      <c r="T72" s="213"/>
      <c r="U72" s="213"/>
      <c r="V72" s="213"/>
      <c r="W72" s="213"/>
      <c r="X72" s="213"/>
      <c r="Y72" s="213"/>
      <c r="Z72" s="213"/>
      <c r="AA72" s="213"/>
      <c r="AB72" s="213"/>
      <c r="AC72" s="213"/>
      <c r="AD72" s="213"/>
      <c r="AE72" s="213"/>
      <c r="AF72" s="213"/>
      <c r="AG72" s="213"/>
      <c r="AH72" s="213"/>
      <c r="AI72" s="213"/>
      <c r="AJ72" s="213"/>
      <c r="AK72" s="213"/>
      <c r="AL72" s="213"/>
      <c r="AM72" s="213"/>
      <c r="AN72" s="213"/>
      <c r="AO72" s="213"/>
      <c r="AP72" s="213"/>
      <c r="AQ72" s="213"/>
      <c r="AR72" s="213"/>
      <c r="AS72" s="213"/>
      <c r="AT72" s="213"/>
      <c r="AU72" s="213"/>
      <c r="AV72" s="213"/>
      <c r="AW72" s="213"/>
      <c r="AX72" s="213"/>
      <c r="AY72" s="213"/>
      <c r="AZ72" s="213"/>
      <c r="BA72" s="213"/>
      <c r="BB72" s="213"/>
      <c r="BC72" s="213"/>
      <c r="BD72" s="213"/>
      <c r="BE72" s="213"/>
      <c r="BF72" s="213"/>
      <c r="BG72" s="213"/>
      <c r="BH72" s="213"/>
      <c r="BI72" s="213"/>
      <c r="BJ72" s="213"/>
      <c r="BK72" s="213"/>
      <c r="BL72" s="213"/>
      <c r="BM72" s="213"/>
      <c r="BN72" s="213"/>
      <c r="BO72" s="213"/>
      <c r="BP72" s="213"/>
      <c r="BQ72" s="213"/>
      <c r="BR72" s="213"/>
      <c r="BS72" s="213"/>
      <c r="BT72" s="213"/>
      <c r="BU72" s="213"/>
      <c r="BV72" s="213"/>
      <c r="BW72" s="213"/>
      <c r="BX72" s="213"/>
      <c r="BY72" s="213"/>
      <c r="BZ72" s="213"/>
      <c r="CA72" s="213"/>
      <c r="CB72" s="213"/>
      <c r="CC72" s="213"/>
      <c r="CD72" s="213"/>
      <c r="CE72" s="213"/>
      <c r="CF72" s="213"/>
      <c r="CG72" s="213"/>
      <c r="CH72" s="213"/>
      <c r="CI72" s="213"/>
      <c r="CJ72" s="213"/>
      <c r="CK72" s="213"/>
      <c r="CL72" s="213"/>
      <c r="CM72" s="213"/>
      <c r="CN72" s="213"/>
      <c r="CO72" s="213"/>
      <c r="CP72" s="213"/>
      <c r="CQ72" s="213"/>
      <c r="CR72" s="213"/>
      <c r="CS72" s="213"/>
      <c r="CT72" s="213"/>
      <c r="CU72" s="213"/>
    </row>
    <row r="73" spans="1:99">
      <c r="A73" s="307"/>
      <c r="B73" s="212"/>
      <c r="C73" s="212"/>
      <c r="D73" s="212"/>
      <c r="E73" s="212"/>
      <c r="F73" s="212"/>
      <c r="G73" s="212"/>
      <c r="H73" s="212"/>
      <c r="I73" s="212"/>
      <c r="J73" s="300"/>
      <c r="K73" s="212"/>
      <c r="L73" s="212"/>
      <c r="M73" s="212"/>
      <c r="N73" s="212"/>
      <c r="O73" s="212"/>
      <c r="P73" s="213"/>
      <c r="Q73" s="213"/>
      <c r="R73" s="213"/>
      <c r="S73" s="213"/>
      <c r="T73" s="213"/>
      <c r="U73" s="213"/>
      <c r="V73" s="213"/>
      <c r="W73" s="213"/>
      <c r="X73" s="213"/>
      <c r="Y73" s="213"/>
      <c r="Z73" s="213"/>
      <c r="AA73" s="213"/>
      <c r="AB73" s="213"/>
      <c r="AC73" s="213"/>
      <c r="AD73" s="213"/>
      <c r="AE73" s="213"/>
      <c r="AF73" s="213"/>
      <c r="AG73" s="213"/>
      <c r="AH73" s="213"/>
      <c r="AI73" s="213"/>
      <c r="AJ73" s="213"/>
      <c r="AK73" s="213"/>
      <c r="AL73" s="213"/>
      <c r="AM73" s="213"/>
      <c r="AN73" s="213"/>
      <c r="AO73" s="213"/>
      <c r="AP73" s="213"/>
      <c r="AQ73" s="213"/>
      <c r="AR73" s="213"/>
      <c r="AS73" s="213"/>
      <c r="AT73" s="213"/>
      <c r="AU73" s="213"/>
      <c r="AV73" s="213"/>
      <c r="AW73" s="213"/>
      <c r="AX73" s="213"/>
      <c r="AY73" s="213"/>
      <c r="AZ73" s="213"/>
      <c r="BA73" s="213"/>
      <c r="BB73" s="213"/>
      <c r="BC73" s="213"/>
      <c r="BD73" s="213"/>
      <c r="BE73" s="213"/>
      <c r="BF73" s="213"/>
      <c r="BG73" s="213"/>
      <c r="BH73" s="213"/>
      <c r="BI73" s="213"/>
      <c r="BJ73" s="213"/>
      <c r="BK73" s="213"/>
      <c r="BL73" s="213"/>
      <c r="BM73" s="213"/>
      <c r="BN73" s="213"/>
      <c r="BO73" s="213"/>
      <c r="BP73" s="213"/>
      <c r="BQ73" s="213"/>
      <c r="BR73" s="213"/>
      <c r="BS73" s="213"/>
      <c r="BT73" s="213"/>
      <c r="BU73" s="213"/>
      <c r="BV73" s="213"/>
      <c r="BW73" s="213"/>
      <c r="BX73" s="213"/>
      <c r="BY73" s="213"/>
      <c r="BZ73" s="213"/>
      <c r="CA73" s="213"/>
      <c r="CB73" s="213"/>
      <c r="CC73" s="213"/>
      <c r="CD73" s="213"/>
      <c r="CE73" s="213"/>
      <c r="CF73" s="213"/>
      <c r="CG73" s="213"/>
      <c r="CH73" s="213"/>
      <c r="CI73" s="213"/>
      <c r="CJ73" s="213"/>
      <c r="CK73" s="213"/>
      <c r="CL73" s="213"/>
      <c r="CM73" s="213"/>
      <c r="CN73" s="213"/>
      <c r="CO73" s="213"/>
      <c r="CP73" s="213"/>
      <c r="CQ73" s="213"/>
      <c r="CR73" s="213"/>
      <c r="CS73" s="213"/>
      <c r="CT73" s="213"/>
      <c r="CU73" s="213"/>
    </row>
    <row r="74" spans="1:99">
      <c r="A74" s="307"/>
      <c r="B74" s="212"/>
      <c r="C74" s="212"/>
      <c r="D74" s="212"/>
      <c r="E74" s="212"/>
      <c r="F74" s="212"/>
      <c r="G74" s="212"/>
      <c r="H74" s="212"/>
      <c r="I74" s="212"/>
      <c r="J74" s="300"/>
      <c r="K74" s="212"/>
      <c r="L74" s="212"/>
      <c r="M74" s="212"/>
      <c r="N74" s="212"/>
      <c r="O74" s="212"/>
      <c r="P74" s="213"/>
      <c r="Q74" s="213"/>
      <c r="R74" s="213"/>
      <c r="S74" s="213"/>
      <c r="T74" s="213"/>
      <c r="U74" s="213"/>
      <c r="V74" s="213"/>
      <c r="W74" s="213"/>
      <c r="X74" s="213"/>
      <c r="Y74" s="213"/>
      <c r="Z74" s="213"/>
      <c r="AA74" s="213"/>
      <c r="AB74" s="213"/>
      <c r="AC74" s="213"/>
      <c r="AD74" s="213"/>
      <c r="AE74" s="213"/>
      <c r="AF74" s="213"/>
      <c r="AG74" s="213"/>
      <c r="AH74" s="213"/>
      <c r="AI74" s="213"/>
      <c r="AJ74" s="213"/>
      <c r="AK74" s="213"/>
      <c r="AL74" s="213"/>
      <c r="AM74" s="213"/>
      <c r="AN74" s="213"/>
      <c r="AO74" s="213"/>
      <c r="AP74" s="213"/>
      <c r="AQ74" s="213"/>
      <c r="AR74" s="213"/>
      <c r="AS74" s="213"/>
      <c r="AT74" s="213"/>
      <c r="AU74" s="213"/>
      <c r="AV74" s="213"/>
      <c r="AW74" s="213"/>
      <c r="AX74" s="213"/>
      <c r="AY74" s="213"/>
      <c r="AZ74" s="213"/>
      <c r="BA74" s="213"/>
      <c r="BB74" s="213"/>
      <c r="BC74" s="213"/>
      <c r="BD74" s="213"/>
      <c r="BE74" s="213"/>
      <c r="BF74" s="213"/>
      <c r="BG74" s="213"/>
      <c r="BH74" s="213"/>
      <c r="BI74" s="213"/>
      <c r="BJ74" s="213"/>
      <c r="BK74" s="213"/>
      <c r="BL74" s="213"/>
      <c r="BM74" s="213"/>
      <c r="BN74" s="213"/>
      <c r="BO74" s="213"/>
      <c r="BP74" s="213"/>
      <c r="BQ74" s="213"/>
      <c r="BR74" s="213"/>
      <c r="BS74" s="213"/>
      <c r="BT74" s="213"/>
      <c r="BU74" s="213"/>
      <c r="BV74" s="213"/>
      <c r="BW74" s="213"/>
      <c r="BX74" s="213"/>
      <c r="BY74" s="213"/>
      <c r="BZ74" s="213"/>
      <c r="CA74" s="213"/>
      <c r="CB74" s="213"/>
      <c r="CC74" s="213"/>
      <c r="CD74" s="213"/>
      <c r="CE74" s="213"/>
      <c r="CF74" s="213"/>
      <c r="CG74" s="213"/>
      <c r="CH74" s="213"/>
      <c r="CI74" s="213"/>
      <c r="CJ74" s="213"/>
      <c r="CK74" s="213"/>
      <c r="CL74" s="213"/>
      <c r="CM74" s="213"/>
      <c r="CN74" s="213"/>
      <c r="CO74" s="213"/>
      <c r="CP74" s="213"/>
      <c r="CQ74" s="213"/>
      <c r="CR74" s="213"/>
      <c r="CS74" s="213"/>
      <c r="CT74" s="213"/>
      <c r="CU74" s="213"/>
    </row>
    <row r="75" spans="1:99">
      <c r="A75" s="307"/>
      <c r="B75" s="212"/>
      <c r="C75" s="212"/>
      <c r="D75" s="212"/>
      <c r="E75" s="212"/>
      <c r="F75" s="212"/>
      <c r="G75" s="212"/>
      <c r="H75" s="212"/>
      <c r="I75" s="212"/>
      <c r="J75" s="300"/>
      <c r="K75" s="212"/>
      <c r="L75" s="212"/>
      <c r="M75" s="212"/>
      <c r="N75" s="212"/>
      <c r="O75" s="212"/>
      <c r="P75" s="213"/>
      <c r="Q75" s="213"/>
      <c r="R75" s="213"/>
      <c r="S75" s="213"/>
      <c r="T75" s="213"/>
      <c r="U75" s="213"/>
      <c r="V75" s="213"/>
      <c r="W75" s="213"/>
      <c r="X75" s="213"/>
      <c r="Y75" s="213"/>
      <c r="Z75" s="213"/>
      <c r="AA75" s="213"/>
      <c r="AB75" s="213"/>
      <c r="AC75" s="213"/>
      <c r="AD75" s="213"/>
      <c r="AE75" s="213"/>
      <c r="AF75" s="213"/>
      <c r="AG75" s="213"/>
      <c r="AH75" s="213"/>
      <c r="AI75" s="213"/>
      <c r="AJ75" s="213"/>
      <c r="AK75" s="213"/>
      <c r="AL75" s="213"/>
      <c r="AM75" s="213"/>
      <c r="AN75" s="213"/>
      <c r="AO75" s="213"/>
      <c r="AP75" s="213"/>
      <c r="AQ75" s="213"/>
      <c r="AR75" s="213"/>
      <c r="AS75" s="213"/>
      <c r="AT75" s="213"/>
      <c r="AU75" s="213"/>
      <c r="AV75" s="213"/>
      <c r="AW75" s="213"/>
      <c r="AX75" s="213"/>
      <c r="AY75" s="213"/>
      <c r="AZ75" s="213"/>
      <c r="BA75" s="213"/>
      <c r="BB75" s="213"/>
      <c r="BC75" s="213"/>
      <c r="BD75" s="213"/>
      <c r="BE75" s="213"/>
      <c r="BF75" s="213"/>
      <c r="BG75" s="213"/>
      <c r="BH75" s="213"/>
      <c r="BI75" s="213"/>
      <c r="BJ75" s="213"/>
      <c r="BK75" s="213"/>
      <c r="BL75" s="213"/>
      <c r="BM75" s="213"/>
      <c r="BN75" s="213"/>
      <c r="BO75" s="213"/>
      <c r="BP75" s="213"/>
      <c r="BQ75" s="213"/>
      <c r="BR75" s="213"/>
      <c r="BS75" s="213"/>
      <c r="BT75" s="213"/>
      <c r="BU75" s="213"/>
      <c r="BV75" s="213"/>
      <c r="BW75" s="213"/>
      <c r="BX75" s="213"/>
      <c r="BY75" s="213"/>
      <c r="BZ75" s="213"/>
      <c r="CA75" s="213"/>
      <c r="CB75" s="213"/>
      <c r="CC75" s="213"/>
      <c r="CD75" s="213"/>
      <c r="CE75" s="213"/>
      <c r="CF75" s="213"/>
      <c r="CG75" s="213"/>
      <c r="CH75" s="213"/>
      <c r="CI75" s="213"/>
      <c r="CJ75" s="213"/>
      <c r="CK75" s="213"/>
      <c r="CL75" s="213"/>
      <c r="CM75" s="213"/>
      <c r="CN75" s="213"/>
      <c r="CO75" s="213"/>
      <c r="CP75" s="213"/>
      <c r="CQ75" s="213"/>
      <c r="CR75" s="213"/>
      <c r="CS75" s="213"/>
      <c r="CT75" s="213"/>
      <c r="CU75" s="213"/>
    </row>
    <row r="76" spans="1:99">
      <c r="A76" s="307"/>
      <c r="B76" s="212"/>
      <c r="C76" s="212"/>
      <c r="D76" s="212"/>
      <c r="E76" s="212"/>
      <c r="F76" s="212"/>
      <c r="G76" s="212"/>
      <c r="H76" s="212"/>
      <c r="I76" s="212"/>
      <c r="J76" s="300"/>
      <c r="K76" s="212"/>
      <c r="L76" s="212"/>
      <c r="M76" s="212"/>
      <c r="N76" s="212"/>
      <c r="O76" s="212"/>
      <c r="P76" s="213"/>
      <c r="Q76" s="213"/>
      <c r="R76" s="213"/>
      <c r="S76" s="213"/>
      <c r="T76" s="213"/>
      <c r="U76" s="213"/>
      <c r="V76" s="213"/>
      <c r="W76" s="213"/>
      <c r="X76" s="213"/>
      <c r="Y76" s="213"/>
      <c r="Z76" s="213"/>
      <c r="AA76" s="213"/>
      <c r="AB76" s="213"/>
      <c r="AC76" s="213"/>
      <c r="AD76" s="213"/>
      <c r="AE76" s="213"/>
      <c r="AF76" s="213"/>
      <c r="AG76" s="213"/>
      <c r="AH76" s="213"/>
      <c r="AI76" s="213"/>
      <c r="AJ76" s="213"/>
      <c r="AK76" s="213"/>
      <c r="AL76" s="213"/>
      <c r="AM76" s="213"/>
      <c r="AN76" s="213"/>
      <c r="AO76" s="213"/>
      <c r="AP76" s="213"/>
      <c r="AQ76" s="213"/>
      <c r="AR76" s="213"/>
      <c r="AS76" s="213"/>
      <c r="AT76" s="213"/>
      <c r="AU76" s="213"/>
      <c r="AV76" s="213"/>
      <c r="AW76" s="213"/>
      <c r="AX76" s="213"/>
      <c r="AY76" s="213"/>
      <c r="AZ76" s="213"/>
      <c r="BA76" s="213"/>
      <c r="BB76" s="213"/>
      <c r="BC76" s="213"/>
      <c r="BD76" s="213"/>
      <c r="BE76" s="213"/>
      <c r="BF76" s="213"/>
      <c r="BG76" s="213"/>
      <c r="BH76" s="213"/>
      <c r="BI76" s="213"/>
      <c r="BJ76" s="213"/>
      <c r="BK76" s="213"/>
      <c r="BL76" s="213"/>
      <c r="BM76" s="213"/>
      <c r="BN76" s="213"/>
      <c r="BO76" s="213"/>
      <c r="BP76" s="213"/>
      <c r="BQ76" s="213"/>
      <c r="BR76" s="213"/>
      <c r="BS76" s="213"/>
      <c r="BT76" s="213"/>
      <c r="BU76" s="213"/>
      <c r="BV76" s="213"/>
      <c r="BW76" s="213"/>
      <c r="BX76" s="213"/>
      <c r="BY76" s="213"/>
      <c r="BZ76" s="213"/>
      <c r="CA76" s="213"/>
      <c r="CB76" s="213"/>
      <c r="CC76" s="213"/>
      <c r="CD76" s="213"/>
      <c r="CE76" s="213"/>
      <c r="CF76" s="213"/>
      <c r="CG76" s="213"/>
      <c r="CH76" s="213"/>
      <c r="CI76" s="213"/>
      <c r="CJ76" s="213"/>
      <c r="CK76" s="213"/>
      <c r="CL76" s="213"/>
      <c r="CM76" s="213"/>
      <c r="CN76" s="213"/>
      <c r="CO76" s="213"/>
      <c r="CP76" s="213"/>
      <c r="CQ76" s="213"/>
      <c r="CR76" s="213"/>
      <c r="CS76" s="213"/>
      <c r="CT76" s="213"/>
      <c r="CU76" s="213"/>
    </row>
    <row r="77" spans="1:99">
      <c r="A77" s="307"/>
      <c r="B77" s="212"/>
      <c r="C77" s="212"/>
      <c r="D77" s="212"/>
      <c r="E77" s="212"/>
      <c r="F77" s="212"/>
      <c r="G77" s="212"/>
      <c r="H77" s="212"/>
      <c r="I77" s="212"/>
      <c r="J77" s="300"/>
      <c r="K77" s="212"/>
      <c r="L77" s="212"/>
      <c r="M77" s="212"/>
      <c r="N77" s="212"/>
      <c r="O77" s="212"/>
      <c r="P77" s="213"/>
      <c r="Q77" s="213"/>
      <c r="R77" s="213"/>
      <c r="S77" s="213"/>
      <c r="T77" s="213"/>
      <c r="U77" s="213"/>
      <c r="V77" s="213"/>
      <c r="W77" s="213"/>
      <c r="X77" s="213"/>
      <c r="Y77" s="213"/>
      <c r="Z77" s="213"/>
      <c r="AA77" s="213"/>
      <c r="AB77" s="213"/>
      <c r="AC77" s="213"/>
      <c r="AD77" s="213"/>
      <c r="AE77" s="213"/>
      <c r="AF77" s="213"/>
      <c r="AG77" s="213"/>
      <c r="AH77" s="213"/>
      <c r="AI77" s="213"/>
      <c r="AJ77" s="213"/>
      <c r="AK77" s="213"/>
      <c r="AL77" s="213"/>
      <c r="AM77" s="213"/>
      <c r="AN77" s="213"/>
      <c r="AO77" s="213"/>
      <c r="AP77" s="213"/>
      <c r="AQ77" s="213"/>
      <c r="AR77" s="213"/>
      <c r="AS77" s="213"/>
      <c r="AT77" s="213"/>
      <c r="AU77" s="213"/>
      <c r="AV77" s="213"/>
      <c r="AW77" s="213"/>
      <c r="AX77" s="213"/>
      <c r="AY77" s="213"/>
      <c r="AZ77" s="213"/>
      <c r="BA77" s="213"/>
      <c r="BB77" s="213"/>
      <c r="BC77" s="213"/>
      <c r="BD77" s="213"/>
      <c r="BE77" s="213"/>
      <c r="BF77" s="213"/>
      <c r="BG77" s="213"/>
      <c r="BH77" s="213"/>
      <c r="BI77" s="213"/>
      <c r="BJ77" s="213"/>
      <c r="BK77" s="213"/>
      <c r="BL77" s="213"/>
      <c r="BM77" s="213"/>
      <c r="BN77" s="213"/>
      <c r="BO77" s="213"/>
      <c r="BP77" s="213"/>
      <c r="BQ77" s="213"/>
      <c r="BR77" s="213"/>
      <c r="BS77" s="213"/>
      <c r="BT77" s="213"/>
      <c r="BU77" s="213"/>
      <c r="BV77" s="213"/>
      <c r="BW77" s="213"/>
      <c r="BX77" s="213"/>
      <c r="BY77" s="213"/>
      <c r="BZ77" s="213"/>
      <c r="CA77" s="213"/>
      <c r="CB77" s="213"/>
      <c r="CC77" s="213"/>
      <c r="CD77" s="213"/>
      <c r="CE77" s="213"/>
      <c r="CF77" s="213"/>
      <c r="CG77" s="213"/>
      <c r="CH77" s="213"/>
      <c r="CI77" s="213"/>
      <c r="CJ77" s="213"/>
      <c r="CK77" s="213"/>
      <c r="CL77" s="213"/>
      <c r="CM77" s="213"/>
      <c r="CN77" s="213"/>
      <c r="CO77" s="213"/>
      <c r="CP77" s="213"/>
      <c r="CQ77" s="213"/>
      <c r="CR77" s="213"/>
      <c r="CS77" s="213"/>
      <c r="CT77" s="213"/>
      <c r="CU77" s="213"/>
    </row>
    <row r="78" spans="1:99">
      <c r="A78" s="307"/>
      <c r="B78" s="212"/>
      <c r="C78" s="212"/>
      <c r="D78" s="212"/>
      <c r="E78" s="212"/>
      <c r="F78" s="212"/>
      <c r="G78" s="212"/>
      <c r="H78" s="212"/>
      <c r="I78" s="212"/>
      <c r="J78" s="300"/>
      <c r="K78" s="212"/>
      <c r="L78" s="212"/>
      <c r="M78" s="212"/>
      <c r="N78" s="212"/>
      <c r="O78" s="212"/>
      <c r="P78" s="213"/>
      <c r="Q78" s="213"/>
      <c r="R78" s="213"/>
      <c r="S78" s="213"/>
      <c r="T78" s="213"/>
      <c r="U78" s="213"/>
      <c r="V78" s="213"/>
      <c r="W78" s="213"/>
      <c r="X78" s="213"/>
      <c r="Y78" s="213"/>
      <c r="Z78" s="213"/>
      <c r="AA78" s="213"/>
      <c r="AB78" s="213"/>
      <c r="AC78" s="213"/>
      <c r="AD78" s="213"/>
      <c r="AE78" s="213"/>
      <c r="AF78" s="213"/>
      <c r="AG78" s="213"/>
      <c r="AH78" s="213"/>
      <c r="AI78" s="213"/>
      <c r="AJ78" s="213"/>
      <c r="AK78" s="213"/>
      <c r="AL78" s="213"/>
      <c r="AM78" s="213"/>
      <c r="AN78" s="213"/>
      <c r="AO78" s="213"/>
      <c r="AP78" s="213"/>
      <c r="AQ78" s="213"/>
      <c r="AR78" s="213"/>
      <c r="AS78" s="213"/>
      <c r="AT78" s="213"/>
      <c r="AU78" s="213"/>
      <c r="AV78" s="213"/>
      <c r="AW78" s="213"/>
      <c r="AX78" s="213"/>
      <c r="AY78" s="213"/>
      <c r="AZ78" s="213"/>
      <c r="BA78" s="213"/>
      <c r="BB78" s="213"/>
      <c r="BC78" s="213"/>
      <c r="BD78" s="213"/>
      <c r="BE78" s="213"/>
      <c r="BF78" s="213"/>
      <c r="BG78" s="213"/>
      <c r="BH78" s="213"/>
      <c r="BI78" s="213"/>
      <c r="BJ78" s="213"/>
      <c r="BK78" s="213"/>
      <c r="BL78" s="213"/>
      <c r="BM78" s="213"/>
      <c r="BN78" s="213"/>
      <c r="BO78" s="213"/>
      <c r="BP78" s="213"/>
      <c r="BQ78" s="213"/>
      <c r="BR78" s="213"/>
      <c r="BS78" s="213"/>
      <c r="BT78" s="213"/>
      <c r="BU78" s="213"/>
      <c r="BV78" s="213"/>
      <c r="BW78" s="213"/>
      <c r="BX78" s="213"/>
      <c r="BY78" s="213"/>
      <c r="BZ78" s="213"/>
      <c r="CA78" s="213"/>
      <c r="CB78" s="213"/>
      <c r="CC78" s="213"/>
      <c r="CD78" s="213"/>
      <c r="CE78" s="213"/>
      <c r="CF78" s="213"/>
      <c r="CG78" s="213"/>
      <c r="CH78" s="213"/>
      <c r="CI78" s="213"/>
      <c r="CJ78" s="213"/>
      <c r="CK78" s="213"/>
      <c r="CL78" s="213"/>
      <c r="CM78" s="213"/>
      <c r="CN78" s="213"/>
      <c r="CO78" s="213"/>
      <c r="CP78" s="213"/>
      <c r="CQ78" s="213"/>
      <c r="CR78" s="213"/>
      <c r="CS78" s="213"/>
      <c r="CT78" s="213"/>
      <c r="CU78" s="213"/>
    </row>
    <row r="79" spans="1:99">
      <c r="A79" s="307"/>
      <c r="B79" s="212"/>
      <c r="C79" s="212"/>
      <c r="D79" s="212"/>
      <c r="E79" s="212"/>
      <c r="F79" s="212"/>
      <c r="G79" s="212"/>
      <c r="H79" s="212"/>
      <c r="I79" s="212"/>
      <c r="J79" s="300"/>
      <c r="K79" s="212"/>
      <c r="L79" s="212"/>
      <c r="M79" s="212"/>
      <c r="N79" s="212"/>
      <c r="O79" s="212"/>
      <c r="P79" s="213"/>
      <c r="Q79" s="213"/>
      <c r="R79" s="213"/>
      <c r="S79" s="213"/>
      <c r="T79" s="213"/>
      <c r="U79" s="213"/>
      <c r="V79" s="213"/>
      <c r="W79" s="213"/>
      <c r="X79" s="213"/>
      <c r="Y79" s="213"/>
      <c r="Z79" s="213"/>
      <c r="AA79" s="213"/>
      <c r="AB79" s="213"/>
      <c r="AC79" s="213"/>
      <c r="AD79" s="213"/>
      <c r="AE79" s="213"/>
      <c r="AF79" s="213"/>
      <c r="AG79" s="213"/>
      <c r="AH79" s="213"/>
      <c r="AI79" s="213"/>
      <c r="AJ79" s="213"/>
      <c r="AK79" s="213"/>
      <c r="AL79" s="213"/>
      <c r="AM79" s="213"/>
      <c r="AN79" s="213"/>
      <c r="AO79" s="213"/>
      <c r="AP79" s="213"/>
      <c r="AQ79" s="213"/>
      <c r="AR79" s="213"/>
      <c r="AS79" s="213"/>
      <c r="AT79" s="213"/>
      <c r="AU79" s="213"/>
      <c r="AV79" s="213"/>
      <c r="AW79" s="213"/>
      <c r="AX79" s="213"/>
      <c r="AY79" s="213"/>
      <c r="AZ79" s="213"/>
      <c r="BA79" s="213"/>
      <c r="BB79" s="213"/>
      <c r="BC79" s="213"/>
      <c r="BD79" s="213"/>
      <c r="BE79" s="213"/>
      <c r="BF79" s="213"/>
      <c r="BG79" s="213"/>
      <c r="BH79" s="213"/>
      <c r="BI79" s="213"/>
      <c r="BJ79" s="213"/>
      <c r="BK79" s="213"/>
      <c r="BL79" s="213"/>
      <c r="BM79" s="213"/>
      <c r="BN79" s="213"/>
      <c r="BO79" s="213"/>
      <c r="BP79" s="213"/>
      <c r="BQ79" s="213"/>
      <c r="BR79" s="213"/>
      <c r="BS79" s="213"/>
      <c r="BT79" s="213"/>
      <c r="BU79" s="213"/>
      <c r="BV79" s="213"/>
      <c r="BW79" s="213"/>
      <c r="BX79" s="213"/>
      <c r="BY79" s="213"/>
      <c r="BZ79" s="213"/>
      <c r="CA79" s="213"/>
      <c r="CB79" s="213"/>
      <c r="CC79" s="213"/>
      <c r="CD79" s="213"/>
      <c r="CE79" s="213"/>
      <c r="CF79" s="213"/>
      <c r="CG79" s="213"/>
      <c r="CH79" s="213"/>
      <c r="CI79" s="213"/>
      <c r="CJ79" s="213"/>
      <c r="CK79" s="213"/>
      <c r="CL79" s="213"/>
      <c r="CM79" s="213"/>
      <c r="CN79" s="213"/>
      <c r="CO79" s="213"/>
      <c r="CP79" s="213"/>
      <c r="CQ79" s="213"/>
      <c r="CR79" s="213"/>
      <c r="CS79" s="213"/>
      <c r="CT79" s="213"/>
      <c r="CU79" s="213"/>
    </row>
    <row r="80" spans="1:99">
      <c r="A80" s="307"/>
      <c r="B80" s="212"/>
      <c r="C80" s="212"/>
      <c r="D80" s="212"/>
      <c r="E80" s="212"/>
      <c r="F80" s="212"/>
      <c r="G80" s="212"/>
      <c r="H80" s="212"/>
      <c r="I80" s="212"/>
      <c r="J80" s="300"/>
      <c r="K80" s="212"/>
      <c r="L80" s="212"/>
      <c r="M80" s="212"/>
      <c r="N80" s="212"/>
      <c r="O80" s="212"/>
      <c r="P80" s="213"/>
      <c r="Q80" s="213"/>
      <c r="R80" s="213"/>
      <c r="S80" s="213"/>
      <c r="T80" s="213"/>
      <c r="U80" s="213"/>
      <c r="V80" s="213"/>
      <c r="W80" s="213"/>
      <c r="X80" s="213"/>
      <c r="Y80" s="213"/>
      <c r="Z80" s="213"/>
      <c r="AA80" s="213"/>
      <c r="AB80" s="213"/>
      <c r="AC80" s="213"/>
      <c r="AD80" s="213"/>
      <c r="AE80" s="213"/>
      <c r="AF80" s="213"/>
      <c r="AG80" s="213"/>
      <c r="AH80" s="213"/>
      <c r="AI80" s="213"/>
      <c r="AJ80" s="213"/>
      <c r="AK80" s="213"/>
      <c r="AL80" s="213"/>
      <c r="AM80" s="213"/>
      <c r="AN80" s="213"/>
      <c r="AO80" s="213"/>
      <c r="AP80" s="213"/>
      <c r="AQ80" s="213"/>
      <c r="AR80" s="213"/>
      <c r="AS80" s="213"/>
      <c r="AT80" s="213"/>
      <c r="AU80" s="213"/>
      <c r="AV80" s="213"/>
      <c r="AW80" s="213"/>
      <c r="AX80" s="213"/>
      <c r="AY80" s="213"/>
      <c r="AZ80" s="213"/>
      <c r="BA80" s="213"/>
      <c r="BB80" s="213"/>
      <c r="BC80" s="213"/>
      <c r="BD80" s="213"/>
      <c r="BE80" s="213"/>
      <c r="BF80" s="213"/>
      <c r="BG80" s="213"/>
      <c r="BH80" s="213"/>
      <c r="BI80" s="213"/>
      <c r="BJ80" s="213"/>
      <c r="BK80" s="213"/>
      <c r="BL80" s="213"/>
      <c r="BM80" s="213"/>
      <c r="BN80" s="213"/>
      <c r="BO80" s="213"/>
      <c r="BP80" s="213"/>
      <c r="BQ80" s="213"/>
      <c r="BR80" s="213"/>
      <c r="BS80" s="213"/>
      <c r="BT80" s="213"/>
      <c r="BU80" s="213"/>
      <c r="BV80" s="213"/>
      <c r="BW80" s="213"/>
      <c r="BX80" s="213"/>
      <c r="BY80" s="213"/>
      <c r="BZ80" s="213"/>
      <c r="CA80" s="213"/>
      <c r="CB80" s="213"/>
      <c r="CC80" s="213"/>
      <c r="CD80" s="213"/>
      <c r="CE80" s="213"/>
      <c r="CF80" s="213"/>
      <c r="CG80" s="213"/>
      <c r="CH80" s="213"/>
      <c r="CI80" s="213"/>
      <c r="CJ80" s="213"/>
      <c r="CK80" s="213"/>
      <c r="CL80" s="213"/>
      <c r="CM80" s="213"/>
      <c r="CN80" s="213"/>
      <c r="CO80" s="213"/>
      <c r="CP80" s="213"/>
      <c r="CQ80" s="213"/>
      <c r="CR80" s="213"/>
      <c r="CS80" s="213"/>
      <c r="CT80" s="213"/>
      <c r="CU80" s="213"/>
    </row>
    <row r="81" spans="1:99">
      <c r="A81" s="307"/>
      <c r="B81" s="212"/>
      <c r="C81" s="212"/>
      <c r="D81" s="212"/>
      <c r="E81" s="212"/>
      <c r="F81" s="212"/>
      <c r="G81" s="212"/>
      <c r="H81" s="212"/>
      <c r="I81" s="212"/>
      <c r="J81" s="300"/>
      <c r="K81" s="212"/>
      <c r="L81" s="212"/>
      <c r="M81" s="212"/>
      <c r="N81" s="212"/>
      <c r="O81" s="212"/>
      <c r="P81" s="213"/>
      <c r="Q81" s="213"/>
      <c r="R81" s="213"/>
      <c r="S81" s="213"/>
      <c r="T81" s="213"/>
      <c r="U81" s="213"/>
      <c r="V81" s="213"/>
      <c r="W81" s="213"/>
      <c r="X81" s="213"/>
      <c r="Y81" s="213"/>
      <c r="Z81" s="213"/>
      <c r="AA81" s="213"/>
      <c r="AB81" s="213"/>
      <c r="AC81" s="213"/>
      <c r="AD81" s="213"/>
      <c r="AE81" s="213"/>
      <c r="AF81" s="213"/>
      <c r="AG81" s="213"/>
      <c r="AH81" s="213"/>
      <c r="AI81" s="213"/>
      <c r="AJ81" s="213"/>
      <c r="AK81" s="213"/>
      <c r="AL81" s="213"/>
      <c r="AM81" s="213"/>
      <c r="AN81" s="213"/>
      <c r="AO81" s="213"/>
      <c r="AP81" s="213"/>
      <c r="AQ81" s="213"/>
      <c r="AR81" s="213"/>
      <c r="AS81" s="213"/>
      <c r="AT81" s="213"/>
      <c r="AU81" s="213"/>
      <c r="AV81" s="213"/>
      <c r="AW81" s="213"/>
      <c r="AX81" s="213"/>
      <c r="AY81" s="213"/>
      <c r="AZ81" s="213"/>
      <c r="BA81" s="213"/>
      <c r="BB81" s="213"/>
      <c r="BC81" s="213"/>
      <c r="BD81" s="213"/>
      <c r="BE81" s="213"/>
      <c r="BF81" s="213"/>
      <c r="BG81" s="213"/>
      <c r="BH81" s="213"/>
      <c r="BI81" s="213"/>
      <c r="BJ81" s="213"/>
      <c r="BK81" s="213"/>
      <c r="BL81" s="213"/>
      <c r="BM81" s="213"/>
      <c r="BN81" s="213"/>
      <c r="BO81" s="213"/>
      <c r="BP81" s="213"/>
      <c r="BQ81" s="213"/>
      <c r="BR81" s="213"/>
      <c r="BS81" s="213"/>
      <c r="BT81" s="213"/>
      <c r="BU81" s="213"/>
      <c r="BV81" s="213"/>
      <c r="BW81" s="213"/>
      <c r="BX81" s="213"/>
      <c r="BY81" s="213"/>
      <c r="BZ81" s="213"/>
      <c r="CA81" s="213"/>
      <c r="CB81" s="213"/>
      <c r="CC81" s="213"/>
      <c r="CD81" s="213"/>
      <c r="CE81" s="213"/>
      <c r="CF81" s="213"/>
      <c r="CG81" s="213"/>
      <c r="CH81" s="213"/>
      <c r="CI81" s="213"/>
      <c r="CJ81" s="213"/>
      <c r="CK81" s="213"/>
      <c r="CL81" s="213"/>
      <c r="CM81" s="213"/>
      <c r="CN81" s="213"/>
      <c r="CO81" s="213"/>
      <c r="CP81" s="213"/>
      <c r="CQ81" s="213"/>
      <c r="CR81" s="213"/>
      <c r="CS81" s="213"/>
      <c r="CT81" s="213"/>
      <c r="CU81" s="213"/>
    </row>
    <row r="82" spans="1:99">
      <c r="A82" s="307"/>
      <c r="B82" s="212"/>
      <c r="C82" s="212"/>
      <c r="D82" s="212"/>
      <c r="E82" s="212"/>
      <c r="F82" s="212"/>
      <c r="G82" s="212"/>
      <c r="H82" s="212"/>
      <c r="I82" s="212"/>
      <c r="J82" s="300"/>
      <c r="K82" s="212"/>
      <c r="L82" s="212"/>
      <c r="M82" s="212"/>
      <c r="N82" s="212"/>
      <c r="O82" s="212"/>
      <c r="P82" s="213"/>
      <c r="Q82" s="213"/>
      <c r="R82" s="213"/>
      <c r="S82" s="213"/>
      <c r="T82" s="213"/>
      <c r="U82" s="213"/>
      <c r="V82" s="213"/>
      <c r="W82" s="213"/>
      <c r="X82" s="213"/>
      <c r="Y82" s="213"/>
      <c r="Z82" s="213"/>
      <c r="AA82" s="213"/>
      <c r="AB82" s="213"/>
      <c r="AC82" s="213"/>
      <c r="AD82" s="213"/>
      <c r="AE82" s="213"/>
      <c r="AF82" s="213"/>
      <c r="AG82" s="213"/>
      <c r="AH82" s="213"/>
      <c r="AI82" s="213"/>
      <c r="AJ82" s="213"/>
      <c r="AK82" s="213"/>
      <c r="AL82" s="213"/>
      <c r="AM82" s="213"/>
      <c r="AN82" s="213"/>
      <c r="AO82" s="213"/>
      <c r="AP82" s="213"/>
      <c r="AQ82" s="213"/>
      <c r="AR82" s="213"/>
      <c r="AS82" s="213"/>
      <c r="AT82" s="213"/>
      <c r="AU82" s="213"/>
      <c r="AV82" s="213"/>
      <c r="AW82" s="213"/>
      <c r="AX82" s="213"/>
      <c r="AY82" s="213"/>
      <c r="AZ82" s="213"/>
      <c r="BA82" s="213"/>
      <c r="BB82" s="213"/>
      <c r="BC82" s="213"/>
      <c r="BD82" s="213"/>
      <c r="BE82" s="213"/>
      <c r="BF82" s="213"/>
      <c r="BG82" s="213"/>
      <c r="BH82" s="213"/>
      <c r="BI82" s="213"/>
      <c r="BJ82" s="213"/>
      <c r="BK82" s="213"/>
      <c r="BL82" s="213"/>
      <c r="BM82" s="213"/>
      <c r="BN82" s="213"/>
      <c r="BO82" s="213"/>
      <c r="BP82" s="213"/>
      <c r="BQ82" s="213"/>
      <c r="BR82" s="213"/>
      <c r="BS82" s="213"/>
      <c r="BT82" s="213"/>
      <c r="BU82" s="213"/>
      <c r="BV82" s="213"/>
      <c r="BW82" s="213"/>
      <c r="BX82" s="213"/>
      <c r="BY82" s="213"/>
      <c r="BZ82" s="213"/>
      <c r="CA82" s="213"/>
      <c r="CB82" s="213"/>
      <c r="CC82" s="213"/>
      <c r="CD82" s="213"/>
      <c r="CE82" s="213"/>
      <c r="CF82" s="213"/>
      <c r="CG82" s="213"/>
      <c r="CH82" s="213"/>
      <c r="CI82" s="213"/>
      <c r="CJ82" s="213"/>
      <c r="CK82" s="213"/>
      <c r="CL82" s="213"/>
      <c r="CM82" s="213"/>
      <c r="CN82" s="213"/>
      <c r="CO82" s="213"/>
      <c r="CP82" s="213"/>
      <c r="CQ82" s="213"/>
      <c r="CR82" s="213"/>
      <c r="CS82" s="213"/>
      <c r="CT82" s="213"/>
      <c r="CU82" s="213"/>
    </row>
    <row r="83" spans="1:99">
      <c r="A83" s="212"/>
      <c r="B83" s="212"/>
      <c r="C83" s="212"/>
      <c r="D83" s="212"/>
      <c r="E83" s="212"/>
      <c r="F83" s="212"/>
      <c r="G83" s="212"/>
      <c r="H83" s="212"/>
      <c r="I83" s="212"/>
      <c r="J83" s="300"/>
      <c r="K83" s="212"/>
      <c r="L83" s="212"/>
      <c r="M83" s="212"/>
      <c r="N83" s="212"/>
      <c r="O83" s="212"/>
      <c r="P83" s="213"/>
      <c r="Q83" s="213"/>
      <c r="R83" s="213"/>
      <c r="S83" s="213"/>
      <c r="T83" s="213"/>
      <c r="U83" s="213"/>
      <c r="V83" s="213"/>
      <c r="W83" s="213"/>
      <c r="X83" s="213"/>
      <c r="Y83" s="213"/>
      <c r="Z83" s="213"/>
      <c r="AA83" s="213"/>
      <c r="AB83" s="213"/>
      <c r="AC83" s="213"/>
      <c r="AD83" s="213"/>
      <c r="AE83" s="213"/>
      <c r="AF83" s="213"/>
      <c r="AG83" s="213"/>
      <c r="AH83" s="213"/>
      <c r="AI83" s="213"/>
      <c r="AJ83" s="213"/>
      <c r="AK83" s="213"/>
      <c r="AL83" s="213"/>
      <c r="AM83" s="213"/>
      <c r="AN83" s="213"/>
      <c r="AO83" s="213"/>
      <c r="AP83" s="213"/>
      <c r="AQ83" s="213"/>
      <c r="AR83" s="213"/>
      <c r="AS83" s="213"/>
      <c r="AT83" s="213"/>
      <c r="AU83" s="213"/>
      <c r="AV83" s="213"/>
      <c r="AW83" s="213"/>
      <c r="AX83" s="213"/>
      <c r="AY83" s="213"/>
      <c r="AZ83" s="213"/>
      <c r="BA83" s="213"/>
      <c r="BB83" s="213"/>
      <c r="BC83" s="213"/>
      <c r="BD83" s="213"/>
      <c r="BE83" s="213"/>
      <c r="BF83" s="213"/>
      <c r="BG83" s="213"/>
      <c r="BH83" s="213"/>
      <c r="BI83" s="213"/>
      <c r="BJ83" s="213"/>
      <c r="BK83" s="213"/>
      <c r="BL83" s="213"/>
      <c r="BM83" s="213"/>
      <c r="BN83" s="213"/>
      <c r="BO83" s="213"/>
      <c r="BP83" s="213"/>
      <c r="BQ83" s="213"/>
      <c r="BR83" s="213"/>
      <c r="BS83" s="213"/>
      <c r="BT83" s="213"/>
      <c r="BU83" s="213"/>
      <c r="BV83" s="213"/>
      <c r="BW83" s="213"/>
      <c r="BX83" s="213"/>
      <c r="BY83" s="213"/>
      <c r="BZ83" s="213"/>
      <c r="CA83" s="213"/>
      <c r="CB83" s="213"/>
      <c r="CC83" s="213"/>
      <c r="CD83" s="213"/>
      <c r="CE83" s="213"/>
      <c r="CF83" s="213"/>
      <c r="CG83" s="213"/>
      <c r="CH83" s="213"/>
      <c r="CI83" s="213"/>
      <c r="CJ83" s="213"/>
      <c r="CK83" s="213"/>
      <c r="CL83" s="213"/>
      <c r="CM83" s="213"/>
      <c r="CN83" s="213"/>
      <c r="CO83" s="213"/>
      <c r="CP83" s="213"/>
      <c r="CQ83" s="213"/>
      <c r="CR83" s="213"/>
      <c r="CS83" s="213"/>
      <c r="CT83" s="213"/>
      <c r="CU83" s="213"/>
    </row>
    <row r="84" spans="1:99">
      <c r="A84" s="212"/>
      <c r="B84" s="212"/>
      <c r="C84" s="212"/>
      <c r="D84" s="212"/>
      <c r="E84" s="212"/>
      <c r="F84" s="212"/>
      <c r="G84" s="212"/>
      <c r="H84" s="212"/>
      <c r="I84" s="212"/>
      <c r="J84" s="300"/>
      <c r="K84" s="212"/>
      <c r="L84" s="212"/>
      <c r="M84" s="212"/>
      <c r="N84" s="212"/>
      <c r="O84" s="212"/>
      <c r="P84" s="213"/>
      <c r="Q84" s="213"/>
      <c r="R84" s="213"/>
      <c r="S84" s="213"/>
      <c r="T84" s="213"/>
      <c r="U84" s="213"/>
      <c r="V84" s="213"/>
      <c r="W84" s="213"/>
      <c r="X84" s="213"/>
      <c r="Y84" s="213"/>
      <c r="Z84" s="213"/>
      <c r="AA84" s="213"/>
      <c r="AB84" s="213"/>
      <c r="AC84" s="213"/>
      <c r="AD84" s="213"/>
      <c r="AE84" s="213"/>
      <c r="AF84" s="213"/>
      <c r="AG84" s="213"/>
      <c r="AH84" s="213"/>
      <c r="AI84" s="213"/>
      <c r="AJ84" s="213"/>
      <c r="AK84" s="213"/>
      <c r="AL84" s="213"/>
      <c r="AM84" s="213"/>
      <c r="AN84" s="213"/>
      <c r="AO84" s="213"/>
      <c r="AP84" s="213"/>
      <c r="AQ84" s="213"/>
      <c r="AR84" s="213"/>
      <c r="AS84" s="213"/>
      <c r="AT84" s="213"/>
      <c r="AU84" s="213"/>
      <c r="AV84" s="213"/>
      <c r="AW84" s="213"/>
      <c r="AX84" s="213"/>
      <c r="AY84" s="213"/>
      <c r="AZ84" s="213"/>
      <c r="BA84" s="213"/>
      <c r="BB84" s="213"/>
      <c r="BC84" s="213"/>
      <c r="BD84" s="213"/>
      <c r="BE84" s="213"/>
      <c r="BF84" s="213"/>
      <c r="BG84" s="213"/>
      <c r="BH84" s="213"/>
      <c r="BI84" s="213"/>
      <c r="BJ84" s="213"/>
      <c r="BK84" s="213"/>
      <c r="BL84" s="213"/>
      <c r="BM84" s="213"/>
      <c r="BN84" s="213"/>
      <c r="BO84" s="213"/>
      <c r="BP84" s="213"/>
      <c r="BQ84" s="213"/>
      <c r="BR84" s="213"/>
      <c r="BS84" s="213"/>
      <c r="BT84" s="213"/>
      <c r="BU84" s="213"/>
      <c r="BV84" s="213"/>
      <c r="BW84" s="213"/>
      <c r="BX84" s="213"/>
      <c r="BY84" s="213"/>
      <c r="BZ84" s="213"/>
      <c r="CA84" s="213"/>
      <c r="CB84" s="213"/>
      <c r="CC84" s="213"/>
      <c r="CD84" s="213"/>
      <c r="CE84" s="213"/>
      <c r="CF84" s="213"/>
      <c r="CG84" s="213"/>
      <c r="CH84" s="213"/>
      <c r="CI84" s="213"/>
      <c r="CJ84" s="213"/>
      <c r="CK84" s="213"/>
      <c r="CL84" s="213"/>
      <c r="CM84" s="213"/>
      <c r="CN84" s="213"/>
      <c r="CO84" s="213"/>
      <c r="CP84" s="213"/>
      <c r="CQ84" s="213"/>
      <c r="CR84" s="213"/>
      <c r="CS84" s="213"/>
      <c r="CT84" s="213"/>
      <c r="CU84" s="213"/>
    </row>
    <row r="85" spans="1:99">
      <c r="A85" s="212"/>
      <c r="B85" s="212"/>
      <c r="C85" s="212"/>
      <c r="D85" s="212"/>
      <c r="E85" s="212"/>
      <c r="F85" s="212"/>
      <c r="G85" s="212"/>
      <c r="H85" s="212"/>
      <c r="I85" s="212"/>
      <c r="J85" s="300"/>
      <c r="K85" s="212"/>
      <c r="L85" s="212"/>
      <c r="M85" s="212"/>
      <c r="N85" s="212"/>
      <c r="O85" s="212"/>
      <c r="P85" s="213"/>
      <c r="Q85" s="213"/>
      <c r="R85" s="213"/>
      <c r="S85" s="213"/>
      <c r="T85" s="213"/>
      <c r="U85" s="213"/>
      <c r="V85" s="213"/>
      <c r="W85" s="213"/>
      <c r="X85" s="213"/>
      <c r="Y85" s="213"/>
      <c r="Z85" s="213"/>
      <c r="AA85" s="213"/>
      <c r="AB85" s="213"/>
      <c r="AC85" s="213"/>
      <c r="AD85" s="213"/>
      <c r="AE85" s="213"/>
      <c r="AF85" s="213"/>
      <c r="AG85" s="213"/>
      <c r="AH85" s="213"/>
      <c r="AI85" s="213"/>
      <c r="AJ85" s="213"/>
      <c r="AK85" s="213"/>
      <c r="AL85" s="213"/>
      <c r="AM85" s="213"/>
      <c r="AN85" s="213"/>
      <c r="AO85" s="213"/>
      <c r="AP85" s="213"/>
      <c r="AQ85" s="213"/>
      <c r="AR85" s="213"/>
      <c r="AS85" s="213"/>
      <c r="AT85" s="213"/>
      <c r="AU85" s="213"/>
      <c r="AV85" s="213"/>
      <c r="AW85" s="213"/>
      <c r="AX85" s="213"/>
      <c r="AY85" s="213"/>
      <c r="AZ85" s="213"/>
      <c r="BA85" s="213"/>
      <c r="BB85" s="213"/>
      <c r="BC85" s="213"/>
      <c r="BD85" s="213"/>
      <c r="BE85" s="213"/>
      <c r="BF85" s="213"/>
      <c r="BG85" s="213"/>
      <c r="BH85" s="213"/>
      <c r="BI85" s="213"/>
      <c r="BJ85" s="213"/>
      <c r="BK85" s="213"/>
      <c r="BL85" s="213"/>
      <c r="BM85" s="213"/>
      <c r="BN85" s="213"/>
      <c r="BO85" s="213"/>
      <c r="BP85" s="213"/>
      <c r="BQ85" s="213"/>
      <c r="BR85" s="213"/>
      <c r="BS85" s="213"/>
      <c r="BT85" s="213"/>
      <c r="BU85" s="213"/>
      <c r="BV85" s="213"/>
      <c r="BW85" s="213"/>
      <c r="BX85" s="213"/>
      <c r="BY85" s="213"/>
      <c r="BZ85" s="213"/>
      <c r="CA85" s="213"/>
      <c r="CB85" s="213"/>
      <c r="CC85" s="213"/>
      <c r="CD85" s="213"/>
      <c r="CE85" s="213"/>
      <c r="CF85" s="213"/>
      <c r="CG85" s="213"/>
      <c r="CH85" s="213"/>
      <c r="CI85" s="213"/>
      <c r="CJ85" s="213"/>
      <c r="CK85" s="213"/>
      <c r="CL85" s="213"/>
      <c r="CM85" s="213"/>
      <c r="CN85" s="213"/>
      <c r="CO85" s="213"/>
      <c r="CP85" s="213"/>
      <c r="CQ85" s="213"/>
      <c r="CR85" s="213"/>
      <c r="CS85" s="213"/>
      <c r="CT85" s="213"/>
      <c r="CU85" s="213"/>
    </row>
    <row r="86" spans="1:99">
      <c r="A86" s="212"/>
      <c r="B86" s="212"/>
      <c r="C86" s="212"/>
      <c r="D86" s="212"/>
      <c r="E86" s="212"/>
      <c r="F86" s="212"/>
      <c r="G86" s="212"/>
      <c r="H86" s="212"/>
      <c r="I86" s="212"/>
      <c r="J86" s="300"/>
      <c r="K86" s="212"/>
      <c r="L86" s="212"/>
      <c r="M86" s="212"/>
      <c r="N86" s="212"/>
      <c r="O86" s="212"/>
      <c r="P86" s="213"/>
      <c r="Q86" s="213"/>
      <c r="R86" s="213"/>
      <c r="S86" s="213"/>
      <c r="T86" s="213"/>
      <c r="U86" s="213"/>
      <c r="V86" s="213"/>
      <c r="W86" s="213"/>
      <c r="X86" s="213"/>
      <c r="Y86" s="213"/>
      <c r="Z86" s="213"/>
      <c r="AA86" s="213"/>
      <c r="AB86" s="213"/>
      <c r="AC86" s="213"/>
      <c r="AD86" s="213"/>
      <c r="AE86" s="213"/>
      <c r="AF86" s="213"/>
      <c r="AG86" s="213"/>
      <c r="AH86" s="213"/>
      <c r="AI86" s="213"/>
      <c r="AJ86" s="213"/>
      <c r="AK86" s="213"/>
      <c r="AL86" s="213"/>
      <c r="AM86" s="213"/>
      <c r="AN86" s="213"/>
      <c r="AO86" s="213"/>
      <c r="AP86" s="213"/>
      <c r="AQ86" s="213"/>
      <c r="AR86" s="213"/>
      <c r="AS86" s="213"/>
      <c r="AT86" s="213"/>
      <c r="AU86" s="213"/>
      <c r="AV86" s="213"/>
      <c r="AW86" s="213"/>
      <c r="AX86" s="213"/>
      <c r="AY86" s="213"/>
      <c r="AZ86" s="213"/>
      <c r="BA86" s="213"/>
      <c r="BB86" s="213"/>
      <c r="BC86" s="213"/>
      <c r="BD86" s="213"/>
      <c r="BE86" s="213"/>
      <c r="BF86" s="213"/>
      <c r="BG86" s="213"/>
      <c r="BH86" s="213"/>
      <c r="BI86" s="213"/>
      <c r="BJ86" s="213"/>
      <c r="BK86" s="213"/>
      <c r="BL86" s="213"/>
      <c r="BM86" s="213"/>
      <c r="BN86" s="213"/>
      <c r="BO86" s="213"/>
      <c r="BP86" s="213"/>
      <c r="BQ86" s="213"/>
      <c r="BR86" s="213"/>
      <c r="BS86" s="213"/>
      <c r="BT86" s="213"/>
      <c r="BU86" s="213"/>
      <c r="BV86" s="213"/>
      <c r="BW86" s="213"/>
      <c r="BX86" s="213"/>
      <c r="BY86" s="213"/>
      <c r="BZ86" s="213"/>
      <c r="CA86" s="213"/>
      <c r="CB86" s="213"/>
      <c r="CC86" s="213"/>
      <c r="CD86" s="213"/>
      <c r="CE86" s="213"/>
      <c r="CF86" s="213"/>
      <c r="CG86" s="213"/>
      <c r="CH86" s="213"/>
      <c r="CI86" s="213"/>
      <c r="CJ86" s="213"/>
      <c r="CK86" s="213"/>
      <c r="CL86" s="213"/>
      <c r="CM86" s="213"/>
      <c r="CN86" s="213"/>
      <c r="CO86" s="213"/>
      <c r="CP86" s="213"/>
      <c r="CQ86" s="213"/>
      <c r="CR86" s="213"/>
      <c r="CS86" s="213"/>
      <c r="CT86" s="213"/>
      <c r="CU86" s="213"/>
    </row>
    <row r="87" spans="1:99">
      <c r="A87" s="212"/>
      <c r="B87" s="212"/>
      <c r="C87" s="212"/>
      <c r="D87" s="212"/>
      <c r="E87" s="212"/>
      <c r="F87" s="212"/>
      <c r="G87" s="212"/>
      <c r="H87" s="212"/>
      <c r="I87" s="212"/>
      <c r="J87" s="300"/>
      <c r="K87" s="212"/>
      <c r="L87" s="212"/>
      <c r="M87" s="212"/>
      <c r="N87" s="212"/>
      <c r="O87" s="212"/>
      <c r="P87" s="213"/>
      <c r="Q87" s="213"/>
      <c r="R87" s="213"/>
      <c r="S87" s="213"/>
      <c r="T87" s="213"/>
      <c r="U87" s="213"/>
      <c r="V87" s="213"/>
      <c r="W87" s="213"/>
      <c r="X87" s="213"/>
      <c r="Y87" s="213"/>
      <c r="Z87" s="213"/>
      <c r="AA87" s="213"/>
      <c r="AB87" s="213"/>
      <c r="AC87" s="213"/>
      <c r="AD87" s="213"/>
      <c r="AE87" s="213"/>
      <c r="AF87" s="213"/>
      <c r="AG87" s="213"/>
      <c r="AH87" s="213"/>
      <c r="AI87" s="213"/>
      <c r="AJ87" s="213"/>
      <c r="AK87" s="213"/>
      <c r="AL87" s="213"/>
      <c r="AM87" s="213"/>
      <c r="AN87" s="213"/>
      <c r="AO87" s="213"/>
      <c r="AP87" s="213"/>
      <c r="AQ87" s="213"/>
      <c r="AR87" s="213"/>
      <c r="AS87" s="213"/>
      <c r="AT87" s="213"/>
      <c r="AU87" s="213"/>
      <c r="AV87" s="213"/>
      <c r="AW87" s="213"/>
      <c r="AX87" s="213"/>
      <c r="AY87" s="213"/>
      <c r="AZ87" s="213"/>
      <c r="BA87" s="213"/>
      <c r="BB87" s="213"/>
      <c r="BC87" s="213"/>
      <c r="BD87" s="213"/>
      <c r="BE87" s="213"/>
      <c r="BF87" s="213"/>
      <c r="BG87" s="213"/>
      <c r="BH87" s="213"/>
      <c r="BI87" s="213"/>
      <c r="BJ87" s="213"/>
      <c r="BK87" s="213"/>
      <c r="BL87" s="213"/>
      <c r="BM87" s="213"/>
      <c r="BN87" s="213"/>
      <c r="BO87" s="213"/>
      <c r="BP87" s="213"/>
      <c r="BQ87" s="213"/>
      <c r="BR87" s="213"/>
      <c r="BS87" s="213"/>
      <c r="BT87" s="213"/>
      <c r="BU87" s="213"/>
      <c r="BV87" s="213"/>
      <c r="BW87" s="213"/>
      <c r="BX87" s="213"/>
      <c r="BY87" s="213"/>
      <c r="BZ87" s="213"/>
      <c r="CA87" s="213"/>
      <c r="CB87" s="213"/>
      <c r="CC87" s="213"/>
      <c r="CD87" s="213"/>
      <c r="CE87" s="213"/>
      <c r="CF87" s="213"/>
      <c r="CG87" s="213"/>
      <c r="CH87" s="213"/>
      <c r="CI87" s="213"/>
      <c r="CJ87" s="213"/>
      <c r="CK87" s="213"/>
      <c r="CL87" s="213"/>
      <c r="CM87" s="213"/>
      <c r="CN87" s="213"/>
      <c r="CO87" s="213"/>
      <c r="CP87" s="213"/>
      <c r="CQ87" s="213"/>
      <c r="CR87" s="213"/>
      <c r="CS87" s="213"/>
      <c r="CT87" s="213"/>
      <c r="CU87" s="213"/>
    </row>
    <row r="88" spans="1:99">
      <c r="A88" s="212"/>
      <c r="B88" s="212"/>
      <c r="C88" s="212"/>
      <c r="D88" s="212"/>
      <c r="E88" s="212"/>
      <c r="F88" s="212"/>
      <c r="G88" s="212"/>
      <c r="H88" s="212"/>
      <c r="I88" s="212"/>
      <c r="J88" s="300"/>
      <c r="K88" s="212"/>
      <c r="L88" s="212"/>
      <c r="M88" s="212"/>
      <c r="N88" s="212"/>
      <c r="O88" s="212"/>
      <c r="P88" s="213"/>
      <c r="Q88" s="213"/>
      <c r="R88" s="213"/>
      <c r="S88" s="213"/>
      <c r="T88" s="213"/>
      <c r="U88" s="213"/>
      <c r="V88" s="213"/>
      <c r="W88" s="213"/>
      <c r="X88" s="213"/>
      <c r="Y88" s="213"/>
      <c r="Z88" s="213"/>
      <c r="AA88" s="213"/>
      <c r="AB88" s="213"/>
      <c r="AC88" s="213"/>
      <c r="AD88" s="213"/>
      <c r="AE88" s="213"/>
      <c r="AF88" s="213"/>
      <c r="AG88" s="213"/>
      <c r="AH88" s="213"/>
      <c r="AI88" s="213"/>
      <c r="AJ88" s="213"/>
      <c r="AK88" s="213"/>
      <c r="AL88" s="213"/>
      <c r="AM88" s="213"/>
      <c r="AN88" s="213"/>
      <c r="AO88" s="213"/>
      <c r="AP88" s="213"/>
      <c r="AQ88" s="213"/>
      <c r="AR88" s="213"/>
      <c r="AS88" s="213"/>
      <c r="AT88" s="213"/>
      <c r="AU88" s="213"/>
      <c r="AV88" s="213"/>
      <c r="AW88" s="213"/>
      <c r="AX88" s="213"/>
      <c r="AY88" s="213"/>
      <c r="AZ88" s="213"/>
      <c r="BA88" s="213"/>
      <c r="BB88" s="213"/>
      <c r="BC88" s="213"/>
      <c r="BD88" s="213"/>
      <c r="BE88" s="213"/>
      <c r="BF88" s="213"/>
      <c r="BG88" s="213"/>
      <c r="BH88" s="213"/>
      <c r="BI88" s="213"/>
      <c r="BJ88" s="213"/>
      <c r="BK88" s="213"/>
      <c r="BL88" s="213"/>
      <c r="BM88" s="213"/>
      <c r="BN88" s="213"/>
      <c r="BO88" s="213"/>
      <c r="BP88" s="213"/>
      <c r="BQ88" s="213"/>
      <c r="BR88" s="213"/>
      <c r="BS88" s="213"/>
      <c r="BT88" s="213"/>
      <c r="BU88" s="213"/>
      <c r="BV88" s="213"/>
      <c r="BW88" s="213"/>
      <c r="BX88" s="213"/>
      <c r="BY88" s="213"/>
      <c r="BZ88" s="213"/>
      <c r="CA88" s="213"/>
      <c r="CB88" s="213"/>
      <c r="CC88" s="213"/>
      <c r="CD88" s="213"/>
      <c r="CE88" s="213"/>
      <c r="CF88" s="213"/>
      <c r="CG88" s="213"/>
      <c r="CH88" s="213"/>
      <c r="CI88" s="213"/>
      <c r="CJ88" s="213"/>
      <c r="CK88" s="213"/>
      <c r="CL88" s="213"/>
      <c r="CM88" s="213"/>
      <c r="CN88" s="213"/>
      <c r="CO88" s="213"/>
      <c r="CP88" s="213"/>
      <c r="CQ88" s="213"/>
      <c r="CR88" s="213"/>
      <c r="CS88" s="213"/>
      <c r="CT88" s="213"/>
      <c r="CU88" s="213"/>
    </row>
    <row r="89" spans="1:99">
      <c r="A89" s="212"/>
      <c r="B89" s="212"/>
      <c r="C89" s="212"/>
      <c r="D89" s="212"/>
      <c r="E89" s="212"/>
      <c r="F89" s="212"/>
      <c r="G89" s="212"/>
      <c r="H89" s="212"/>
      <c r="I89" s="212"/>
      <c r="J89" s="300"/>
      <c r="K89" s="212"/>
      <c r="L89" s="212"/>
      <c r="M89" s="212"/>
      <c r="N89" s="212"/>
      <c r="O89" s="212"/>
      <c r="P89" s="213"/>
      <c r="Q89" s="213"/>
      <c r="R89" s="213"/>
      <c r="S89" s="213"/>
      <c r="T89" s="213"/>
      <c r="U89" s="213"/>
      <c r="V89" s="213"/>
      <c r="W89" s="213"/>
      <c r="X89" s="213"/>
      <c r="Y89" s="213"/>
      <c r="Z89" s="213"/>
      <c r="AA89" s="213"/>
      <c r="AB89" s="213"/>
      <c r="AC89" s="213"/>
      <c r="AD89" s="213"/>
      <c r="AE89" s="213"/>
      <c r="AF89" s="213"/>
      <c r="AG89" s="213"/>
      <c r="AH89" s="213"/>
      <c r="AI89" s="213"/>
      <c r="AJ89" s="213"/>
      <c r="AK89" s="213"/>
      <c r="AL89" s="213"/>
      <c r="AM89" s="213"/>
      <c r="AN89" s="213"/>
      <c r="AO89" s="213"/>
      <c r="AP89" s="213"/>
      <c r="AQ89" s="213"/>
      <c r="AR89" s="213"/>
      <c r="AS89" s="213"/>
      <c r="AT89" s="213"/>
      <c r="AU89" s="213"/>
      <c r="AV89" s="213"/>
      <c r="AW89" s="213"/>
      <c r="AX89" s="213"/>
      <c r="AY89" s="213"/>
      <c r="AZ89" s="213"/>
      <c r="BA89" s="213"/>
      <c r="BB89" s="213"/>
      <c r="BC89" s="213"/>
      <c r="BD89" s="213"/>
      <c r="BE89" s="213"/>
      <c r="BF89" s="213"/>
      <c r="BG89" s="213"/>
      <c r="BH89" s="213"/>
      <c r="BI89" s="213"/>
      <c r="BJ89" s="213"/>
      <c r="BK89" s="213"/>
      <c r="BL89" s="213"/>
      <c r="BM89" s="213"/>
      <c r="BN89" s="213"/>
      <c r="BO89" s="213"/>
      <c r="BP89" s="213"/>
      <c r="BQ89" s="213"/>
      <c r="BR89" s="213"/>
      <c r="BS89" s="213"/>
      <c r="BT89" s="213"/>
      <c r="BU89" s="213"/>
      <c r="BV89" s="213"/>
      <c r="BW89" s="213"/>
      <c r="BX89" s="213"/>
      <c r="BY89" s="213"/>
      <c r="BZ89" s="213"/>
      <c r="CA89" s="213"/>
      <c r="CB89" s="213"/>
      <c r="CC89" s="213"/>
      <c r="CD89" s="213"/>
      <c r="CE89" s="213"/>
      <c r="CF89" s="213"/>
      <c r="CG89" s="213"/>
      <c r="CH89" s="213"/>
      <c r="CI89" s="213"/>
      <c r="CJ89" s="213"/>
      <c r="CK89" s="213"/>
      <c r="CL89" s="213"/>
      <c r="CM89" s="213"/>
      <c r="CN89" s="213"/>
      <c r="CO89" s="213"/>
      <c r="CP89" s="213"/>
      <c r="CQ89" s="213"/>
      <c r="CR89" s="213"/>
      <c r="CS89" s="213"/>
      <c r="CT89" s="213"/>
      <c r="CU89" s="213"/>
    </row>
    <row r="90" spans="1:99">
      <c r="A90" s="212"/>
      <c r="B90" s="212"/>
      <c r="C90" s="212"/>
      <c r="D90" s="212"/>
      <c r="E90" s="212"/>
      <c r="F90" s="212"/>
      <c r="G90" s="212"/>
      <c r="H90" s="212"/>
      <c r="I90" s="212"/>
      <c r="J90" s="300"/>
      <c r="K90" s="212"/>
      <c r="L90" s="212"/>
      <c r="M90" s="212"/>
      <c r="N90" s="212"/>
      <c r="O90" s="212"/>
      <c r="P90" s="213"/>
      <c r="Q90" s="213"/>
      <c r="R90" s="213"/>
      <c r="S90" s="213"/>
      <c r="T90" s="213"/>
      <c r="U90" s="213"/>
      <c r="V90" s="213"/>
      <c r="W90" s="213"/>
      <c r="X90" s="213"/>
      <c r="Y90" s="213"/>
      <c r="Z90" s="213"/>
      <c r="AA90" s="213"/>
      <c r="AB90" s="213"/>
      <c r="AC90" s="213"/>
      <c r="AD90" s="213"/>
      <c r="AE90" s="213"/>
      <c r="AF90" s="213"/>
      <c r="AG90" s="213"/>
      <c r="AH90" s="213"/>
      <c r="AI90" s="213"/>
      <c r="AJ90" s="213"/>
      <c r="AK90" s="213"/>
      <c r="AL90" s="213"/>
      <c r="AM90" s="213"/>
      <c r="AN90" s="213"/>
      <c r="AO90" s="213"/>
      <c r="AP90" s="213"/>
      <c r="AQ90" s="213"/>
      <c r="AR90" s="213"/>
      <c r="AS90" s="213"/>
      <c r="AT90" s="213"/>
      <c r="AU90" s="213"/>
      <c r="AV90" s="213"/>
      <c r="AW90" s="213"/>
      <c r="AX90" s="213"/>
      <c r="AY90" s="213"/>
      <c r="AZ90" s="213"/>
      <c r="BA90" s="213"/>
      <c r="BB90" s="213"/>
      <c r="BC90" s="213"/>
      <c r="BD90" s="213"/>
      <c r="BE90" s="213"/>
      <c r="BF90" s="213"/>
      <c r="BG90" s="213"/>
      <c r="BH90" s="213"/>
      <c r="BI90" s="213"/>
      <c r="BJ90" s="213"/>
      <c r="BK90" s="213"/>
      <c r="BL90" s="213"/>
      <c r="BM90" s="213"/>
      <c r="BN90" s="213"/>
      <c r="BO90" s="213"/>
      <c r="BP90" s="213"/>
      <c r="BQ90" s="213"/>
      <c r="BR90" s="213"/>
      <c r="BS90" s="213"/>
      <c r="BT90" s="213"/>
      <c r="BU90" s="213"/>
      <c r="BV90" s="213"/>
      <c r="BW90" s="213"/>
      <c r="BX90" s="213"/>
      <c r="BY90" s="213"/>
      <c r="BZ90" s="213"/>
      <c r="CA90" s="213"/>
      <c r="CB90" s="213"/>
      <c r="CC90" s="213"/>
      <c r="CD90" s="213"/>
      <c r="CE90" s="213"/>
      <c r="CF90" s="213"/>
      <c r="CG90" s="213"/>
      <c r="CH90" s="213"/>
      <c r="CI90" s="213"/>
      <c r="CJ90" s="213"/>
      <c r="CK90" s="213"/>
      <c r="CL90" s="213"/>
      <c r="CM90" s="213"/>
      <c r="CN90" s="213"/>
      <c r="CO90" s="213"/>
      <c r="CP90" s="213"/>
      <c r="CQ90" s="213"/>
      <c r="CR90" s="213"/>
      <c r="CS90" s="213"/>
      <c r="CT90" s="213"/>
      <c r="CU90" s="213"/>
    </row>
    <row r="91" spans="1:99">
      <c r="A91" s="213"/>
      <c r="B91" s="213"/>
      <c r="C91" s="213"/>
      <c r="D91" s="213"/>
      <c r="E91" s="213"/>
      <c r="F91" s="213"/>
      <c r="G91" s="213"/>
      <c r="H91" s="213"/>
      <c r="I91" s="213"/>
      <c r="J91" s="216"/>
      <c r="K91" s="213"/>
      <c r="L91" s="213"/>
      <c r="M91" s="213"/>
      <c r="N91" s="213"/>
      <c r="O91" s="213"/>
      <c r="P91" s="213"/>
      <c r="Q91" s="213"/>
      <c r="R91" s="213"/>
      <c r="S91" s="213"/>
      <c r="T91" s="213"/>
      <c r="U91" s="213"/>
      <c r="V91" s="213"/>
      <c r="W91" s="213"/>
      <c r="X91" s="213"/>
      <c r="Y91" s="213"/>
      <c r="Z91" s="213"/>
      <c r="AA91" s="213"/>
      <c r="AB91" s="213"/>
      <c r="AC91" s="213"/>
      <c r="AD91" s="213"/>
      <c r="AE91" s="213"/>
      <c r="AF91" s="213"/>
      <c r="AG91" s="213"/>
      <c r="AH91" s="213"/>
      <c r="AI91" s="213"/>
      <c r="AJ91" s="213"/>
      <c r="AK91" s="213"/>
      <c r="AL91" s="213"/>
      <c r="AM91" s="213"/>
      <c r="AN91" s="213"/>
      <c r="AO91" s="213"/>
      <c r="AP91" s="213"/>
      <c r="AQ91" s="213"/>
      <c r="AR91" s="213"/>
      <c r="AS91" s="213"/>
      <c r="AT91" s="213"/>
      <c r="AU91" s="213"/>
      <c r="AV91" s="213"/>
      <c r="AW91" s="213"/>
      <c r="AX91" s="213"/>
      <c r="AY91" s="213"/>
      <c r="AZ91" s="213"/>
      <c r="BA91" s="213"/>
      <c r="BB91" s="213"/>
      <c r="BC91" s="213"/>
      <c r="BD91" s="213"/>
      <c r="BE91" s="213"/>
      <c r="BF91" s="213"/>
      <c r="BG91" s="213"/>
      <c r="BH91" s="213"/>
      <c r="BI91" s="213"/>
      <c r="BJ91" s="213"/>
      <c r="BK91" s="213"/>
      <c r="BL91" s="213"/>
      <c r="BM91" s="213"/>
      <c r="BN91" s="213"/>
      <c r="BO91" s="213"/>
      <c r="BP91" s="213"/>
      <c r="BQ91" s="213"/>
      <c r="BR91" s="213"/>
      <c r="BS91" s="213"/>
      <c r="BT91" s="213"/>
      <c r="BU91" s="213"/>
      <c r="BV91" s="213"/>
      <c r="BW91" s="213"/>
      <c r="BX91" s="213"/>
      <c r="BY91" s="213"/>
      <c r="BZ91" s="213"/>
      <c r="CA91" s="213"/>
      <c r="CB91" s="213"/>
      <c r="CC91" s="213"/>
      <c r="CD91" s="213"/>
      <c r="CE91" s="213"/>
      <c r="CF91" s="213"/>
      <c r="CG91" s="213"/>
      <c r="CH91" s="213"/>
      <c r="CI91" s="213"/>
      <c r="CJ91" s="213"/>
      <c r="CK91" s="213"/>
      <c r="CL91" s="213"/>
      <c r="CM91" s="213"/>
      <c r="CN91" s="213"/>
      <c r="CO91" s="213"/>
      <c r="CP91" s="213"/>
      <c r="CQ91" s="213"/>
      <c r="CR91" s="213"/>
      <c r="CS91" s="213"/>
      <c r="CT91" s="213"/>
      <c r="CU91" s="213"/>
    </row>
    <row r="92" spans="1:99">
      <c r="A92" s="213"/>
      <c r="B92" s="213"/>
      <c r="C92" s="213"/>
      <c r="D92" s="213"/>
      <c r="E92" s="213"/>
      <c r="F92" s="213"/>
      <c r="G92" s="213"/>
      <c r="H92" s="213"/>
      <c r="I92" s="213"/>
      <c r="J92" s="216"/>
      <c r="K92" s="213"/>
      <c r="L92" s="213"/>
      <c r="M92" s="213"/>
      <c r="N92" s="213"/>
      <c r="O92" s="213"/>
      <c r="P92" s="213"/>
      <c r="Q92" s="213"/>
      <c r="R92" s="213"/>
      <c r="S92" s="213"/>
      <c r="T92" s="213"/>
      <c r="U92" s="213"/>
      <c r="V92" s="213"/>
      <c r="W92" s="213"/>
      <c r="X92" s="213"/>
      <c r="Y92" s="213"/>
      <c r="Z92" s="213"/>
      <c r="AA92" s="213"/>
      <c r="AB92" s="213"/>
      <c r="AC92" s="213"/>
      <c r="AD92" s="213"/>
      <c r="AE92" s="213"/>
      <c r="AF92" s="213"/>
      <c r="AG92" s="213"/>
      <c r="AH92" s="213"/>
      <c r="AI92" s="213"/>
      <c r="AJ92" s="213"/>
      <c r="AK92" s="213"/>
      <c r="AL92" s="213"/>
      <c r="AM92" s="213"/>
      <c r="AN92" s="213"/>
      <c r="AO92" s="213"/>
      <c r="AP92" s="213"/>
      <c r="AQ92" s="213"/>
      <c r="AR92" s="213"/>
      <c r="AS92" s="213"/>
      <c r="AT92" s="213"/>
      <c r="AU92" s="213"/>
      <c r="AV92" s="213"/>
      <c r="AW92" s="213"/>
      <c r="AX92" s="213"/>
      <c r="AY92" s="213"/>
      <c r="AZ92" s="213"/>
      <c r="BA92" s="213"/>
      <c r="BB92" s="213"/>
      <c r="BC92" s="213"/>
      <c r="BD92" s="213"/>
      <c r="BE92" s="213"/>
      <c r="BF92" s="213"/>
      <c r="BG92" s="213"/>
      <c r="BH92" s="213"/>
      <c r="BI92" s="213"/>
      <c r="BJ92" s="213"/>
      <c r="BK92" s="213"/>
      <c r="BL92" s="213"/>
      <c r="BM92" s="213"/>
      <c r="BN92" s="213"/>
      <c r="BO92" s="213"/>
      <c r="BP92" s="213"/>
      <c r="BQ92" s="213"/>
      <c r="BR92" s="213"/>
      <c r="BS92" s="213"/>
      <c r="BT92" s="213"/>
      <c r="BU92" s="213"/>
      <c r="BV92" s="213"/>
      <c r="BW92" s="213"/>
      <c r="BX92" s="213"/>
      <c r="BY92" s="213"/>
      <c r="BZ92" s="213"/>
      <c r="CA92" s="213"/>
      <c r="CB92" s="213"/>
      <c r="CC92" s="213"/>
      <c r="CD92" s="213"/>
      <c r="CE92" s="213"/>
      <c r="CF92" s="213"/>
      <c r="CG92" s="213"/>
      <c r="CH92" s="213"/>
      <c r="CI92" s="213"/>
      <c r="CJ92" s="213"/>
      <c r="CK92" s="213"/>
      <c r="CL92" s="213"/>
      <c r="CM92" s="213"/>
      <c r="CN92" s="213"/>
      <c r="CO92" s="213"/>
      <c r="CP92" s="213"/>
      <c r="CQ92" s="213"/>
      <c r="CR92" s="213"/>
      <c r="CS92" s="213"/>
      <c r="CT92" s="213"/>
      <c r="CU92" s="213"/>
    </row>
    <row r="93" spans="1:99">
      <c r="A93" s="213"/>
      <c r="B93" s="213"/>
      <c r="C93" s="213"/>
      <c r="D93" s="213"/>
      <c r="E93" s="213"/>
      <c r="F93" s="213"/>
      <c r="G93" s="213"/>
      <c r="H93" s="213"/>
      <c r="I93" s="213"/>
      <c r="J93" s="216"/>
      <c r="K93" s="213"/>
      <c r="L93" s="213"/>
      <c r="M93" s="213"/>
      <c r="N93" s="213"/>
      <c r="O93" s="213"/>
      <c r="P93" s="213"/>
      <c r="Q93" s="213"/>
      <c r="R93" s="213"/>
      <c r="S93" s="213"/>
      <c r="T93" s="213"/>
      <c r="U93" s="213"/>
      <c r="V93" s="213"/>
      <c r="W93" s="213"/>
      <c r="X93" s="213"/>
      <c r="Y93" s="213"/>
      <c r="Z93" s="213"/>
      <c r="AA93" s="213"/>
      <c r="AB93" s="213"/>
      <c r="AC93" s="213"/>
      <c r="AD93" s="213"/>
      <c r="AE93" s="213"/>
      <c r="AF93" s="213"/>
      <c r="AG93" s="213"/>
      <c r="AH93" s="213"/>
      <c r="AI93" s="213"/>
      <c r="AJ93" s="213"/>
      <c r="AK93" s="213"/>
      <c r="AL93" s="213"/>
      <c r="AM93" s="213"/>
      <c r="AN93" s="213"/>
      <c r="AO93" s="213"/>
      <c r="AP93" s="213"/>
      <c r="AQ93" s="213"/>
      <c r="AR93" s="213"/>
      <c r="AS93" s="213"/>
      <c r="AT93" s="213"/>
      <c r="AU93" s="213"/>
      <c r="AV93" s="213"/>
      <c r="AW93" s="213"/>
      <c r="AX93" s="213"/>
      <c r="AY93" s="213"/>
      <c r="AZ93" s="213"/>
      <c r="BA93" s="213"/>
      <c r="BB93" s="213"/>
      <c r="BC93" s="213"/>
      <c r="BD93" s="213"/>
      <c r="BE93" s="213"/>
      <c r="BF93" s="213"/>
      <c r="BG93" s="213"/>
      <c r="BH93" s="213"/>
      <c r="BI93" s="213"/>
      <c r="BJ93" s="213"/>
      <c r="BK93" s="213"/>
      <c r="BL93" s="213"/>
      <c r="BM93" s="213"/>
      <c r="BN93" s="213"/>
      <c r="BO93" s="213"/>
      <c r="BP93" s="213"/>
      <c r="BQ93" s="213"/>
      <c r="BR93" s="213"/>
      <c r="BS93" s="213"/>
      <c r="BT93" s="213"/>
      <c r="BU93" s="213"/>
      <c r="BV93" s="213"/>
      <c r="BW93" s="213"/>
      <c r="BX93" s="213"/>
      <c r="BY93" s="213"/>
      <c r="BZ93" s="213"/>
      <c r="CA93" s="213"/>
      <c r="CB93" s="213"/>
      <c r="CC93" s="213"/>
      <c r="CD93" s="213"/>
      <c r="CE93" s="213"/>
      <c r="CF93" s="213"/>
      <c r="CG93" s="213"/>
      <c r="CH93" s="213"/>
      <c r="CI93" s="213"/>
      <c r="CJ93" s="213"/>
      <c r="CK93" s="213"/>
      <c r="CL93" s="213"/>
      <c r="CM93" s="213"/>
      <c r="CN93" s="213"/>
      <c r="CO93" s="213"/>
      <c r="CP93" s="213"/>
      <c r="CQ93" s="213"/>
      <c r="CR93" s="213"/>
      <c r="CS93" s="213"/>
      <c r="CT93" s="213"/>
      <c r="CU93" s="213"/>
    </row>
    <row r="94" spans="1:99">
      <c r="A94" s="213"/>
      <c r="B94" s="213"/>
      <c r="C94" s="213"/>
      <c r="D94" s="213"/>
      <c r="E94" s="213"/>
      <c r="F94" s="213"/>
      <c r="G94" s="213"/>
      <c r="H94" s="213"/>
      <c r="I94" s="213"/>
      <c r="J94" s="216"/>
      <c r="K94" s="213"/>
      <c r="L94" s="213"/>
      <c r="M94" s="213"/>
      <c r="N94" s="213"/>
      <c r="O94" s="213"/>
      <c r="P94" s="213"/>
      <c r="Q94" s="213"/>
      <c r="R94" s="213"/>
      <c r="S94" s="213"/>
      <c r="T94" s="213"/>
      <c r="U94" s="213"/>
      <c r="V94" s="213"/>
      <c r="W94" s="213"/>
      <c r="X94" s="213"/>
      <c r="Y94" s="213"/>
      <c r="Z94" s="213"/>
      <c r="AA94" s="213"/>
      <c r="AB94" s="213"/>
      <c r="AC94" s="213"/>
      <c r="AD94" s="213"/>
      <c r="AE94" s="213"/>
      <c r="AF94" s="213"/>
      <c r="AG94" s="213"/>
      <c r="AH94" s="213"/>
      <c r="AI94" s="213"/>
      <c r="AJ94" s="213"/>
      <c r="AK94" s="213"/>
      <c r="AL94" s="213"/>
      <c r="AM94" s="213"/>
      <c r="AN94" s="213"/>
      <c r="AO94" s="213"/>
      <c r="AP94" s="213"/>
      <c r="AQ94" s="213"/>
      <c r="AR94" s="213"/>
      <c r="AS94" s="213"/>
      <c r="AT94" s="213"/>
      <c r="AU94" s="213"/>
      <c r="AV94" s="213"/>
      <c r="AW94" s="213"/>
      <c r="AX94" s="213"/>
      <c r="AY94" s="213"/>
      <c r="AZ94" s="213"/>
      <c r="BA94" s="213"/>
      <c r="BB94" s="213"/>
      <c r="BC94" s="213"/>
      <c r="BD94" s="213"/>
      <c r="BE94" s="213"/>
      <c r="BF94" s="213"/>
      <c r="BG94" s="213"/>
      <c r="BH94" s="213"/>
      <c r="BI94" s="213"/>
      <c r="BJ94" s="213"/>
      <c r="BK94" s="213"/>
      <c r="BL94" s="213"/>
      <c r="BM94" s="213"/>
      <c r="BN94" s="213"/>
      <c r="BO94" s="213"/>
      <c r="BP94" s="213"/>
      <c r="BQ94" s="213"/>
      <c r="BR94" s="213"/>
      <c r="BS94" s="213"/>
      <c r="BT94" s="213"/>
      <c r="BU94" s="213"/>
      <c r="BV94" s="213"/>
      <c r="BW94" s="213"/>
      <c r="BX94" s="213"/>
      <c r="BY94" s="213"/>
      <c r="BZ94" s="213"/>
      <c r="CA94" s="213"/>
      <c r="CB94" s="213"/>
      <c r="CC94" s="213"/>
      <c r="CD94" s="213"/>
      <c r="CE94" s="213"/>
      <c r="CF94" s="213"/>
      <c r="CG94" s="213"/>
      <c r="CH94" s="213"/>
      <c r="CI94" s="213"/>
      <c r="CJ94" s="213"/>
      <c r="CK94" s="213"/>
      <c r="CL94" s="213"/>
      <c r="CM94" s="213"/>
      <c r="CN94" s="213"/>
      <c r="CO94" s="213"/>
      <c r="CP94" s="213"/>
      <c r="CQ94" s="213"/>
      <c r="CR94" s="213"/>
      <c r="CS94" s="213"/>
      <c r="CT94" s="213"/>
      <c r="CU94" s="213"/>
    </row>
    <row r="95" spans="1:99">
      <c r="A95" s="213"/>
      <c r="B95" s="213"/>
      <c r="C95" s="213"/>
      <c r="D95" s="213"/>
      <c r="E95" s="213"/>
      <c r="F95" s="213"/>
      <c r="G95" s="213"/>
      <c r="H95" s="213"/>
      <c r="I95" s="213"/>
      <c r="J95" s="216"/>
      <c r="K95" s="213"/>
      <c r="L95" s="213"/>
      <c r="M95" s="213"/>
      <c r="N95" s="213"/>
      <c r="O95" s="213"/>
      <c r="P95" s="213"/>
      <c r="Q95" s="213"/>
      <c r="R95" s="213"/>
      <c r="S95" s="213"/>
      <c r="T95" s="213"/>
      <c r="U95" s="213"/>
      <c r="V95" s="213"/>
      <c r="W95" s="213"/>
      <c r="X95" s="213"/>
      <c r="Y95" s="213"/>
      <c r="Z95" s="213"/>
      <c r="AA95" s="213"/>
      <c r="AB95" s="213"/>
      <c r="AC95" s="213"/>
      <c r="AD95" s="213"/>
      <c r="AE95" s="213"/>
      <c r="AF95" s="213"/>
      <c r="AG95" s="213"/>
      <c r="AH95" s="213"/>
      <c r="AI95" s="213"/>
      <c r="AJ95" s="213"/>
      <c r="AK95" s="213"/>
      <c r="AL95" s="213"/>
      <c r="AM95" s="213"/>
      <c r="AN95" s="213"/>
      <c r="AO95" s="213"/>
      <c r="AP95" s="213"/>
      <c r="AQ95" s="213"/>
      <c r="AR95" s="213"/>
      <c r="AS95" s="213"/>
      <c r="AT95" s="213"/>
      <c r="AU95" s="213"/>
      <c r="AV95" s="213"/>
      <c r="AW95" s="213"/>
      <c r="AX95" s="213"/>
      <c r="AY95" s="213"/>
      <c r="AZ95" s="213"/>
      <c r="BA95" s="213"/>
      <c r="BB95" s="213"/>
      <c r="BC95" s="213"/>
      <c r="BD95" s="213"/>
      <c r="BE95" s="213"/>
      <c r="BF95" s="213"/>
      <c r="BG95" s="213"/>
      <c r="BH95" s="213"/>
      <c r="BI95" s="213"/>
      <c r="BJ95" s="213"/>
      <c r="BK95" s="213"/>
      <c r="BL95" s="213"/>
      <c r="BM95" s="213"/>
      <c r="BN95" s="213"/>
      <c r="BO95" s="213"/>
      <c r="BP95" s="213"/>
      <c r="BQ95" s="213"/>
      <c r="BR95" s="213"/>
      <c r="BS95" s="213"/>
      <c r="BT95" s="213"/>
      <c r="BU95" s="213"/>
      <c r="BV95" s="213"/>
      <c r="BW95" s="213"/>
      <c r="BX95" s="213"/>
      <c r="BY95" s="213"/>
      <c r="BZ95" s="213"/>
      <c r="CA95" s="213"/>
      <c r="CB95" s="213"/>
      <c r="CC95" s="213"/>
      <c r="CD95" s="213"/>
      <c r="CE95" s="213"/>
      <c r="CF95" s="213"/>
      <c r="CG95" s="213"/>
      <c r="CH95" s="213"/>
      <c r="CI95" s="213"/>
      <c r="CJ95" s="213"/>
      <c r="CK95" s="213"/>
      <c r="CL95" s="213"/>
      <c r="CM95" s="213"/>
      <c r="CN95" s="213"/>
      <c r="CO95" s="213"/>
      <c r="CP95" s="213"/>
      <c r="CQ95" s="213"/>
      <c r="CR95" s="213"/>
      <c r="CS95" s="213"/>
      <c r="CT95" s="213"/>
      <c r="CU95" s="213"/>
    </row>
    <row r="96" spans="1:99">
      <c r="A96" s="213"/>
      <c r="B96" s="213"/>
      <c r="C96" s="213"/>
      <c r="D96" s="213"/>
      <c r="E96" s="213"/>
      <c r="F96" s="213"/>
      <c r="G96" s="213"/>
      <c r="H96" s="213"/>
      <c r="I96" s="213"/>
      <c r="J96" s="216"/>
      <c r="K96" s="213"/>
      <c r="L96" s="213"/>
      <c r="M96" s="213"/>
      <c r="N96" s="213"/>
      <c r="O96" s="213"/>
      <c r="P96" s="213"/>
      <c r="Q96" s="213"/>
      <c r="R96" s="213"/>
      <c r="S96" s="213"/>
      <c r="T96" s="213"/>
      <c r="U96" s="213"/>
      <c r="V96" s="213"/>
      <c r="W96" s="213"/>
      <c r="X96" s="213"/>
      <c r="Y96" s="213"/>
      <c r="Z96" s="213"/>
      <c r="AA96" s="213"/>
      <c r="AB96" s="213"/>
      <c r="AC96" s="213"/>
      <c r="AD96" s="213"/>
      <c r="AE96" s="213"/>
      <c r="AF96" s="213"/>
      <c r="AG96" s="213"/>
      <c r="AH96" s="213"/>
      <c r="AI96" s="213"/>
      <c r="AJ96" s="213"/>
      <c r="AK96" s="213"/>
      <c r="AL96" s="213"/>
      <c r="AM96" s="213"/>
      <c r="AN96" s="213"/>
      <c r="AO96" s="213"/>
      <c r="AP96" s="213"/>
      <c r="AQ96" s="213"/>
      <c r="AR96" s="213"/>
      <c r="AS96" s="213"/>
      <c r="AT96" s="213"/>
      <c r="AU96" s="213"/>
      <c r="AV96" s="213"/>
      <c r="AW96" s="213"/>
      <c r="AX96" s="213"/>
      <c r="AY96" s="213"/>
      <c r="AZ96" s="213"/>
      <c r="BA96" s="213"/>
      <c r="BB96" s="213"/>
      <c r="BC96" s="213"/>
      <c r="BD96" s="213"/>
      <c r="BE96" s="213"/>
      <c r="BF96" s="213"/>
      <c r="BG96" s="213"/>
      <c r="BH96" s="213"/>
      <c r="BI96" s="213"/>
      <c r="BJ96" s="213"/>
      <c r="BK96" s="213"/>
      <c r="BL96" s="213"/>
      <c r="BM96" s="213"/>
      <c r="BN96" s="213"/>
      <c r="BO96" s="213"/>
      <c r="BP96" s="213"/>
      <c r="BQ96" s="213"/>
      <c r="BR96" s="213"/>
      <c r="BS96" s="213"/>
      <c r="BT96" s="213"/>
      <c r="BU96" s="213"/>
      <c r="BV96" s="213"/>
      <c r="BW96" s="213"/>
      <c r="BX96" s="213"/>
      <c r="BY96" s="213"/>
      <c r="BZ96" s="213"/>
      <c r="CA96" s="213"/>
      <c r="CB96" s="213"/>
      <c r="CC96" s="213"/>
      <c r="CD96" s="213"/>
      <c r="CE96" s="213"/>
      <c r="CF96" s="213"/>
      <c r="CG96" s="213"/>
      <c r="CH96" s="213"/>
      <c r="CI96" s="213"/>
      <c r="CJ96" s="213"/>
      <c r="CK96" s="213"/>
      <c r="CL96" s="213"/>
      <c r="CM96" s="213"/>
      <c r="CN96" s="213"/>
      <c r="CO96" s="213"/>
      <c r="CP96" s="213"/>
      <c r="CQ96" s="213"/>
      <c r="CR96" s="213"/>
      <c r="CS96" s="213"/>
      <c r="CT96" s="213"/>
      <c r="CU96" s="213"/>
    </row>
    <row r="97" spans="1:99">
      <c r="A97" s="213"/>
      <c r="B97" s="213"/>
      <c r="C97" s="213"/>
      <c r="D97" s="213"/>
      <c r="E97" s="213"/>
      <c r="F97" s="213"/>
      <c r="G97" s="213"/>
      <c r="H97" s="213"/>
      <c r="I97" s="213"/>
      <c r="J97" s="216"/>
      <c r="K97" s="213"/>
      <c r="L97" s="213"/>
      <c r="M97" s="213"/>
      <c r="N97" s="213"/>
      <c r="O97" s="213"/>
      <c r="P97" s="213"/>
      <c r="Q97" s="213"/>
      <c r="R97" s="213"/>
      <c r="S97" s="213"/>
      <c r="T97" s="213"/>
      <c r="U97" s="213"/>
      <c r="V97" s="213"/>
      <c r="W97" s="213"/>
      <c r="X97" s="213"/>
      <c r="Y97" s="213"/>
      <c r="Z97" s="213"/>
      <c r="AA97" s="213"/>
      <c r="AB97" s="213"/>
      <c r="AC97" s="213"/>
      <c r="AD97" s="213"/>
      <c r="AE97" s="213"/>
      <c r="AF97" s="213"/>
      <c r="AG97" s="213"/>
      <c r="AH97" s="213"/>
      <c r="AI97" s="213"/>
      <c r="AJ97" s="213"/>
      <c r="AK97" s="213"/>
      <c r="AL97" s="213"/>
      <c r="AM97" s="213"/>
      <c r="AN97" s="213"/>
      <c r="AO97" s="213"/>
      <c r="AP97" s="213"/>
      <c r="AQ97" s="213"/>
      <c r="AR97" s="213"/>
      <c r="AS97" s="213"/>
      <c r="AT97" s="213"/>
      <c r="AU97" s="213"/>
      <c r="AV97" s="213"/>
      <c r="AW97" s="213"/>
      <c r="AX97" s="213"/>
      <c r="AY97" s="213"/>
      <c r="AZ97" s="213"/>
      <c r="BA97" s="213"/>
      <c r="BB97" s="213"/>
      <c r="BC97" s="213"/>
      <c r="BD97" s="213"/>
      <c r="BE97" s="213"/>
      <c r="BF97" s="213"/>
      <c r="BG97" s="213"/>
      <c r="BH97" s="213"/>
      <c r="BI97" s="213"/>
      <c r="BJ97" s="213"/>
      <c r="BK97" s="213"/>
      <c r="BL97" s="213"/>
      <c r="BM97" s="213"/>
      <c r="BN97" s="213"/>
      <c r="BO97" s="213"/>
      <c r="BP97" s="213"/>
      <c r="BQ97" s="213"/>
      <c r="BR97" s="213"/>
      <c r="BS97" s="213"/>
      <c r="BT97" s="213"/>
      <c r="BU97" s="213"/>
      <c r="BV97" s="213"/>
      <c r="BW97" s="213"/>
      <c r="BX97" s="213"/>
      <c r="BY97" s="213"/>
      <c r="BZ97" s="213"/>
      <c r="CA97" s="213"/>
      <c r="CB97" s="213"/>
      <c r="CC97" s="213"/>
      <c r="CD97" s="213"/>
      <c r="CE97" s="213"/>
      <c r="CF97" s="213"/>
      <c r="CG97" s="213"/>
      <c r="CH97" s="213"/>
      <c r="CI97" s="213"/>
      <c r="CJ97" s="213"/>
      <c r="CK97" s="213"/>
      <c r="CL97" s="213"/>
      <c r="CM97" s="213"/>
      <c r="CN97" s="213"/>
      <c r="CO97" s="213"/>
      <c r="CP97" s="213"/>
      <c r="CQ97" s="213"/>
      <c r="CR97" s="213"/>
      <c r="CS97" s="213"/>
      <c r="CT97" s="213"/>
      <c r="CU97" s="213"/>
    </row>
    <row r="98" spans="1:99">
      <c r="A98" s="213"/>
      <c r="B98" s="213"/>
      <c r="C98" s="213"/>
      <c r="D98" s="213"/>
      <c r="E98" s="213"/>
      <c r="F98" s="213"/>
      <c r="G98" s="213"/>
      <c r="H98" s="213"/>
      <c r="I98" s="213"/>
      <c r="J98" s="216"/>
      <c r="K98" s="213"/>
      <c r="L98" s="213"/>
      <c r="M98" s="213"/>
      <c r="N98" s="213"/>
      <c r="O98" s="213"/>
      <c r="P98" s="213"/>
      <c r="Q98" s="213"/>
      <c r="R98" s="213"/>
      <c r="S98" s="213"/>
      <c r="T98" s="213"/>
      <c r="U98" s="213"/>
      <c r="V98" s="213"/>
      <c r="W98" s="213"/>
      <c r="X98" s="213"/>
      <c r="Y98" s="213"/>
      <c r="Z98" s="213"/>
      <c r="AA98" s="213"/>
      <c r="AB98" s="213"/>
      <c r="AC98" s="213"/>
      <c r="AD98" s="213"/>
      <c r="AE98" s="213"/>
      <c r="AF98" s="213"/>
      <c r="AG98" s="213"/>
      <c r="AH98" s="213"/>
      <c r="AI98" s="213"/>
      <c r="AJ98" s="213"/>
      <c r="AK98" s="213"/>
      <c r="AL98" s="213"/>
      <c r="AM98" s="213"/>
      <c r="AN98" s="213"/>
      <c r="AO98" s="213"/>
      <c r="AP98" s="213"/>
      <c r="AQ98" s="213"/>
      <c r="AR98" s="213"/>
      <c r="AS98" s="213"/>
      <c r="AT98" s="213"/>
      <c r="AU98" s="213"/>
      <c r="AV98" s="213"/>
      <c r="AW98" s="213"/>
      <c r="AX98" s="213"/>
      <c r="AY98" s="213"/>
      <c r="AZ98" s="213"/>
      <c r="BA98" s="213"/>
      <c r="BB98" s="213"/>
      <c r="BC98" s="213"/>
      <c r="BD98" s="213"/>
      <c r="BE98" s="213"/>
      <c r="BF98" s="213"/>
      <c r="BG98" s="213"/>
      <c r="BH98" s="213"/>
      <c r="BI98" s="213"/>
      <c r="BJ98" s="213"/>
      <c r="BK98" s="213"/>
      <c r="BL98" s="213"/>
      <c r="BM98" s="213"/>
      <c r="BN98" s="213"/>
      <c r="BO98" s="213"/>
      <c r="BP98" s="213"/>
      <c r="BQ98" s="213"/>
      <c r="BR98" s="213"/>
      <c r="BS98" s="213"/>
      <c r="BT98" s="213"/>
      <c r="BU98" s="213"/>
      <c r="BV98" s="213"/>
      <c r="BW98" s="213"/>
      <c r="BX98" s="213"/>
      <c r="BY98" s="213"/>
      <c r="BZ98" s="213"/>
      <c r="CA98" s="213"/>
      <c r="CB98" s="213"/>
      <c r="CC98" s="213"/>
      <c r="CD98" s="213"/>
      <c r="CE98" s="213"/>
      <c r="CF98" s="213"/>
      <c r="CG98" s="213"/>
      <c r="CH98" s="213"/>
      <c r="CI98" s="213"/>
      <c r="CJ98" s="213"/>
      <c r="CK98" s="213"/>
      <c r="CL98" s="213"/>
      <c r="CM98" s="213"/>
      <c r="CN98" s="213"/>
      <c r="CO98" s="213"/>
      <c r="CP98" s="213"/>
      <c r="CQ98" s="213"/>
      <c r="CR98" s="213"/>
      <c r="CS98" s="213"/>
      <c r="CT98" s="213"/>
      <c r="CU98" s="213"/>
    </row>
    <row r="99" spans="1:99">
      <c r="A99" s="213"/>
      <c r="B99" s="213"/>
      <c r="C99" s="213"/>
      <c r="D99" s="213"/>
      <c r="E99" s="213"/>
      <c r="F99" s="213"/>
      <c r="G99" s="213"/>
      <c r="H99" s="213"/>
      <c r="I99" s="213"/>
      <c r="J99" s="216"/>
      <c r="K99" s="213"/>
      <c r="L99" s="213"/>
      <c r="M99" s="213"/>
      <c r="N99" s="213"/>
      <c r="O99" s="213"/>
      <c r="P99" s="213"/>
      <c r="Q99" s="213"/>
      <c r="R99" s="213"/>
      <c r="S99" s="213"/>
      <c r="T99" s="213"/>
      <c r="U99" s="213"/>
      <c r="V99" s="213"/>
      <c r="W99" s="213"/>
      <c r="X99" s="213"/>
      <c r="Y99" s="213"/>
      <c r="Z99" s="213"/>
      <c r="AA99" s="213"/>
      <c r="AB99" s="213"/>
      <c r="AC99" s="213"/>
      <c r="AD99" s="213"/>
      <c r="AE99" s="213"/>
      <c r="AF99" s="213"/>
      <c r="AG99" s="213"/>
      <c r="AH99" s="213"/>
      <c r="AI99" s="213"/>
      <c r="AJ99" s="213"/>
      <c r="AK99" s="213"/>
      <c r="AL99" s="213"/>
      <c r="AM99" s="213"/>
      <c r="AN99" s="213"/>
      <c r="AO99" s="213"/>
      <c r="AP99" s="213"/>
      <c r="AQ99" s="213"/>
      <c r="AR99" s="213"/>
      <c r="AS99" s="213"/>
      <c r="AT99" s="213"/>
      <c r="AU99" s="213"/>
      <c r="AV99" s="213"/>
      <c r="AW99" s="213"/>
      <c r="AX99" s="213"/>
      <c r="AY99" s="213"/>
      <c r="AZ99" s="213"/>
      <c r="BA99" s="213"/>
      <c r="BB99" s="213"/>
      <c r="BC99" s="213"/>
      <c r="BD99" s="213"/>
      <c r="BE99" s="213"/>
      <c r="BF99" s="213"/>
      <c r="BG99" s="213"/>
      <c r="BH99" s="213"/>
      <c r="BI99" s="213"/>
      <c r="BJ99" s="213"/>
      <c r="BK99" s="213"/>
      <c r="BL99" s="213"/>
      <c r="BM99" s="213"/>
      <c r="BN99" s="213"/>
      <c r="BO99" s="213"/>
      <c r="BP99" s="213"/>
      <c r="BQ99" s="213"/>
      <c r="BR99" s="213"/>
      <c r="BS99" s="213"/>
      <c r="BT99" s="213"/>
      <c r="BU99" s="213"/>
      <c r="BV99" s="213"/>
      <c r="BW99" s="213"/>
      <c r="BX99" s="213"/>
      <c r="BY99" s="213"/>
      <c r="BZ99" s="213"/>
      <c r="CA99" s="213"/>
      <c r="CB99" s="213"/>
      <c r="CC99" s="213"/>
      <c r="CD99" s="213"/>
      <c r="CE99" s="213"/>
      <c r="CF99" s="213"/>
      <c r="CG99" s="213"/>
      <c r="CH99" s="213"/>
      <c r="CI99" s="213"/>
      <c r="CJ99" s="213"/>
      <c r="CK99" s="213"/>
      <c r="CL99" s="213"/>
      <c r="CM99" s="213"/>
      <c r="CN99" s="213"/>
      <c r="CO99" s="213"/>
      <c r="CP99" s="213"/>
      <c r="CQ99" s="213"/>
      <c r="CR99" s="213"/>
      <c r="CS99" s="213"/>
      <c r="CT99" s="213"/>
      <c r="CU99" s="213"/>
    </row>
    <row r="100" spans="1:99">
      <c r="A100" s="213"/>
      <c r="B100" s="213"/>
      <c r="C100" s="213"/>
      <c r="D100" s="213"/>
      <c r="E100" s="213"/>
      <c r="F100" s="213"/>
      <c r="G100" s="213"/>
      <c r="H100" s="213"/>
      <c r="I100" s="213"/>
      <c r="J100" s="216"/>
      <c r="K100" s="213"/>
      <c r="L100" s="213"/>
      <c r="M100" s="213"/>
      <c r="N100" s="213"/>
      <c r="O100" s="213"/>
      <c r="P100" s="213"/>
      <c r="Q100" s="213"/>
      <c r="R100" s="213"/>
      <c r="S100" s="213"/>
      <c r="T100" s="213"/>
      <c r="U100" s="213"/>
      <c r="V100" s="213"/>
      <c r="W100" s="213"/>
      <c r="X100" s="213"/>
      <c r="Y100" s="213"/>
      <c r="Z100" s="213"/>
      <c r="AA100" s="213"/>
      <c r="AB100" s="213"/>
      <c r="AC100" s="213"/>
      <c r="AD100" s="213"/>
      <c r="AE100" s="213"/>
      <c r="AF100" s="213"/>
      <c r="AG100" s="213"/>
      <c r="AH100" s="213"/>
      <c r="AI100" s="213"/>
      <c r="AJ100" s="213"/>
      <c r="AK100" s="213"/>
      <c r="AL100" s="213"/>
      <c r="AM100" s="213"/>
      <c r="AN100" s="213"/>
      <c r="AO100" s="213"/>
      <c r="AP100" s="213"/>
      <c r="AQ100" s="213"/>
      <c r="AR100" s="213"/>
      <c r="AS100" s="213"/>
      <c r="AT100" s="213"/>
      <c r="AU100" s="213"/>
      <c r="AV100" s="213"/>
      <c r="AW100" s="213"/>
      <c r="AX100" s="213"/>
      <c r="AY100" s="213"/>
      <c r="AZ100" s="213"/>
      <c r="BA100" s="213"/>
      <c r="BB100" s="213"/>
      <c r="BC100" s="213"/>
      <c r="BD100" s="213"/>
      <c r="BE100" s="213"/>
      <c r="BF100" s="213"/>
      <c r="BG100" s="213"/>
      <c r="BH100" s="213"/>
      <c r="BI100" s="213"/>
      <c r="BJ100" s="213"/>
      <c r="BK100" s="213"/>
      <c r="BL100" s="213"/>
      <c r="BM100" s="213"/>
      <c r="BN100" s="213"/>
      <c r="BO100" s="213"/>
      <c r="BP100" s="213"/>
      <c r="BQ100" s="213"/>
      <c r="BR100" s="213"/>
      <c r="BS100" s="213"/>
      <c r="BT100" s="213"/>
      <c r="BU100" s="213"/>
      <c r="BV100" s="213"/>
      <c r="BW100" s="213"/>
      <c r="BX100" s="213"/>
      <c r="BY100" s="213"/>
      <c r="BZ100" s="213"/>
      <c r="CA100" s="213"/>
      <c r="CB100" s="213"/>
      <c r="CC100" s="213"/>
      <c r="CD100" s="213"/>
      <c r="CE100" s="213"/>
      <c r="CF100" s="213"/>
      <c r="CG100" s="213"/>
      <c r="CH100" s="213"/>
      <c r="CI100" s="213"/>
      <c r="CJ100" s="213"/>
      <c r="CK100" s="213"/>
      <c r="CL100" s="213"/>
      <c r="CM100" s="213"/>
      <c r="CN100" s="213"/>
      <c r="CO100" s="213"/>
      <c r="CP100" s="213"/>
      <c r="CQ100" s="213"/>
      <c r="CR100" s="213"/>
      <c r="CS100" s="213"/>
      <c r="CT100" s="213"/>
      <c r="CU100" s="213"/>
    </row>
    <row r="101" spans="1:99">
      <c r="A101" s="213"/>
      <c r="B101" s="213"/>
      <c r="C101" s="213"/>
      <c r="D101" s="213"/>
      <c r="E101" s="213"/>
      <c r="F101" s="213"/>
      <c r="G101" s="213"/>
      <c r="H101" s="213"/>
      <c r="I101" s="213"/>
      <c r="J101" s="216"/>
      <c r="K101" s="213"/>
      <c r="L101" s="213"/>
      <c r="M101" s="213"/>
      <c r="N101" s="213"/>
      <c r="O101" s="213"/>
      <c r="P101" s="213"/>
      <c r="Q101" s="213"/>
      <c r="R101" s="213"/>
      <c r="S101" s="213"/>
      <c r="T101" s="213"/>
      <c r="U101" s="213"/>
      <c r="V101" s="213"/>
      <c r="W101" s="213"/>
      <c r="X101" s="213"/>
      <c r="Y101" s="213"/>
      <c r="Z101" s="213"/>
      <c r="AA101" s="213"/>
      <c r="AB101" s="213"/>
      <c r="AC101" s="213"/>
      <c r="AD101" s="213"/>
      <c r="AE101" s="213"/>
      <c r="AF101" s="213"/>
      <c r="AG101" s="213"/>
      <c r="AH101" s="213"/>
      <c r="AI101" s="213"/>
      <c r="AJ101" s="213"/>
      <c r="AK101" s="213"/>
      <c r="AL101" s="213"/>
      <c r="AM101" s="213"/>
      <c r="AN101" s="213"/>
      <c r="AO101" s="213"/>
      <c r="AP101" s="213"/>
      <c r="AQ101" s="213"/>
      <c r="AR101" s="213"/>
      <c r="AS101" s="213"/>
      <c r="AT101" s="213"/>
      <c r="AU101" s="213"/>
      <c r="AV101" s="213"/>
      <c r="AW101" s="213"/>
      <c r="AX101" s="213"/>
      <c r="AY101" s="213"/>
      <c r="AZ101" s="213"/>
      <c r="BA101" s="213"/>
      <c r="BB101" s="213"/>
      <c r="BC101" s="213"/>
      <c r="BD101" s="213"/>
      <c r="BE101" s="213"/>
      <c r="BF101" s="213"/>
      <c r="BG101" s="213"/>
      <c r="BH101" s="213"/>
      <c r="BI101" s="213"/>
      <c r="BJ101" s="213"/>
      <c r="BK101" s="213"/>
      <c r="BL101" s="213"/>
      <c r="BM101" s="213"/>
      <c r="BN101" s="213"/>
      <c r="BO101" s="213"/>
      <c r="BP101" s="213"/>
      <c r="BQ101" s="213"/>
      <c r="BR101" s="213"/>
      <c r="BS101" s="213"/>
      <c r="BT101" s="213"/>
      <c r="BU101" s="213"/>
      <c r="BV101" s="213"/>
      <c r="BW101" s="213"/>
      <c r="BX101" s="213"/>
      <c r="BY101" s="213"/>
      <c r="BZ101" s="213"/>
      <c r="CA101" s="213"/>
      <c r="CB101" s="213"/>
      <c r="CC101" s="213"/>
      <c r="CD101" s="213"/>
      <c r="CE101" s="213"/>
      <c r="CF101" s="213"/>
      <c r="CG101" s="213"/>
      <c r="CH101" s="213"/>
      <c r="CI101" s="213"/>
      <c r="CJ101" s="213"/>
      <c r="CK101" s="213"/>
      <c r="CL101" s="213"/>
      <c r="CM101" s="213"/>
      <c r="CN101" s="213"/>
      <c r="CO101" s="213"/>
      <c r="CP101" s="213"/>
      <c r="CQ101" s="213"/>
      <c r="CR101" s="213"/>
      <c r="CS101" s="213"/>
      <c r="CT101" s="213"/>
      <c r="CU101" s="213"/>
    </row>
    <row r="102" spans="1:99">
      <c r="A102" s="213"/>
      <c r="B102" s="213"/>
      <c r="C102" s="213"/>
      <c r="D102" s="213"/>
      <c r="E102" s="213"/>
      <c r="F102" s="213"/>
      <c r="G102" s="213"/>
      <c r="H102" s="213"/>
      <c r="I102" s="213"/>
      <c r="J102" s="216"/>
      <c r="K102" s="213"/>
      <c r="L102" s="213"/>
      <c r="M102" s="213"/>
      <c r="N102" s="213"/>
      <c r="O102" s="213"/>
      <c r="P102" s="213"/>
      <c r="Q102" s="213"/>
      <c r="R102" s="213"/>
      <c r="S102" s="213"/>
      <c r="T102" s="213"/>
      <c r="U102" s="213"/>
      <c r="V102" s="213"/>
      <c r="W102" s="213"/>
      <c r="X102" s="213"/>
      <c r="Y102" s="213"/>
      <c r="Z102" s="213"/>
      <c r="AA102" s="213"/>
      <c r="AB102" s="213"/>
      <c r="AC102" s="213"/>
      <c r="AD102" s="213"/>
      <c r="AE102" s="213"/>
      <c r="AF102" s="213"/>
      <c r="AG102" s="213"/>
      <c r="AH102" s="213"/>
      <c r="AI102" s="213"/>
      <c r="AJ102" s="213"/>
      <c r="AK102" s="213"/>
      <c r="AL102" s="213"/>
      <c r="AM102" s="213"/>
      <c r="AN102" s="213"/>
      <c r="AO102" s="213"/>
      <c r="AP102" s="213"/>
      <c r="AQ102" s="213"/>
      <c r="AR102" s="213"/>
      <c r="AS102" s="213"/>
      <c r="AT102" s="213"/>
      <c r="AU102" s="213"/>
      <c r="AV102" s="213"/>
      <c r="AW102" s="213"/>
      <c r="AX102" s="213"/>
      <c r="AY102" s="213"/>
      <c r="AZ102" s="213"/>
      <c r="BA102" s="213"/>
      <c r="BB102" s="213"/>
      <c r="BC102" s="213"/>
      <c r="BD102" s="213"/>
      <c r="BE102" s="213"/>
      <c r="BF102" s="213"/>
      <c r="BG102" s="213"/>
      <c r="BH102" s="213"/>
      <c r="BI102" s="213"/>
      <c r="BJ102" s="213"/>
      <c r="BK102" s="213"/>
      <c r="BL102" s="213"/>
      <c r="BM102" s="213"/>
      <c r="BN102" s="213"/>
      <c r="BO102" s="213"/>
      <c r="BP102" s="213"/>
      <c r="BQ102" s="213"/>
      <c r="BR102" s="213"/>
      <c r="BS102" s="213"/>
      <c r="BT102" s="213"/>
      <c r="BU102" s="213"/>
      <c r="BV102" s="213"/>
      <c r="BW102" s="213"/>
      <c r="BX102" s="213"/>
      <c r="BY102" s="213"/>
      <c r="BZ102" s="213"/>
      <c r="CA102" s="213"/>
      <c r="CB102" s="213"/>
      <c r="CC102" s="213"/>
      <c r="CD102" s="213"/>
      <c r="CE102" s="213"/>
      <c r="CF102" s="213"/>
      <c r="CG102" s="213"/>
      <c r="CH102" s="213"/>
      <c r="CI102" s="213"/>
      <c r="CJ102" s="213"/>
      <c r="CK102" s="213"/>
      <c r="CL102" s="213"/>
      <c r="CM102" s="213"/>
      <c r="CN102" s="213"/>
      <c r="CO102" s="213"/>
      <c r="CP102" s="213"/>
      <c r="CQ102" s="213"/>
      <c r="CR102" s="213"/>
      <c r="CS102" s="213"/>
      <c r="CT102" s="213"/>
      <c r="CU102" s="213"/>
    </row>
    <row r="103" spans="1:99">
      <c r="A103" s="213"/>
      <c r="B103" s="213"/>
      <c r="C103" s="213"/>
      <c r="D103" s="213"/>
      <c r="E103" s="213"/>
      <c r="F103" s="213"/>
      <c r="G103" s="213"/>
      <c r="H103" s="213"/>
      <c r="I103" s="213"/>
      <c r="J103" s="216"/>
      <c r="K103" s="213"/>
      <c r="L103" s="213"/>
      <c r="M103" s="213"/>
      <c r="N103" s="213"/>
      <c r="O103" s="213"/>
      <c r="P103" s="213"/>
      <c r="Q103" s="213"/>
      <c r="R103" s="213"/>
      <c r="S103" s="213"/>
      <c r="T103" s="213"/>
      <c r="U103" s="213"/>
      <c r="V103" s="213"/>
      <c r="W103" s="213"/>
      <c r="X103" s="213"/>
      <c r="Y103" s="213"/>
      <c r="Z103" s="213"/>
      <c r="AA103" s="213"/>
      <c r="AB103" s="213"/>
      <c r="AC103" s="213"/>
      <c r="AD103" s="213"/>
      <c r="AE103" s="213"/>
      <c r="AF103" s="213"/>
      <c r="AG103" s="213"/>
      <c r="AH103" s="213"/>
      <c r="AI103" s="213"/>
      <c r="AJ103" s="213"/>
      <c r="AK103" s="213"/>
      <c r="AL103" s="213"/>
      <c r="AM103" s="213"/>
      <c r="AN103" s="213"/>
      <c r="AO103" s="213"/>
      <c r="AP103" s="213"/>
      <c r="AQ103" s="213"/>
      <c r="AR103" s="213"/>
      <c r="AS103" s="213"/>
      <c r="AT103" s="213"/>
      <c r="AU103" s="213"/>
      <c r="AV103" s="213"/>
      <c r="AW103" s="213"/>
      <c r="AX103" s="213"/>
      <c r="AY103" s="213"/>
      <c r="AZ103" s="213"/>
      <c r="BA103" s="213"/>
      <c r="BB103" s="213"/>
      <c r="BC103" s="213"/>
      <c r="BD103" s="213"/>
      <c r="BE103" s="213"/>
      <c r="BF103" s="213"/>
      <c r="BG103" s="213"/>
      <c r="BH103" s="213"/>
      <c r="BI103" s="213"/>
      <c r="BJ103" s="213"/>
      <c r="BK103" s="213"/>
      <c r="BL103" s="213"/>
      <c r="BM103" s="213"/>
      <c r="BN103" s="213"/>
      <c r="BO103" s="213"/>
      <c r="BP103" s="213"/>
      <c r="BQ103" s="213"/>
      <c r="BR103" s="213"/>
      <c r="BS103" s="213"/>
      <c r="BT103" s="213"/>
      <c r="BU103" s="213"/>
      <c r="BV103" s="213"/>
      <c r="BW103" s="213"/>
      <c r="BX103" s="213"/>
      <c r="BY103" s="213"/>
      <c r="BZ103" s="213"/>
      <c r="CA103" s="213"/>
      <c r="CB103" s="213"/>
      <c r="CC103" s="213"/>
      <c r="CD103" s="213"/>
      <c r="CE103" s="213"/>
      <c r="CF103" s="213"/>
      <c r="CG103" s="213"/>
      <c r="CH103" s="213"/>
      <c r="CI103" s="213"/>
      <c r="CJ103" s="213"/>
      <c r="CK103" s="213"/>
      <c r="CL103" s="213"/>
      <c r="CM103" s="213"/>
      <c r="CN103" s="213"/>
      <c r="CO103" s="213"/>
      <c r="CP103" s="213"/>
      <c r="CQ103" s="213"/>
      <c r="CR103" s="213"/>
      <c r="CS103" s="213"/>
      <c r="CT103" s="213"/>
      <c r="CU103" s="213"/>
    </row>
    <row r="104" spans="1:99">
      <c r="A104" s="213"/>
      <c r="B104" s="213"/>
      <c r="C104" s="213"/>
      <c r="D104" s="213"/>
      <c r="E104" s="213"/>
      <c r="F104" s="213"/>
      <c r="G104" s="213"/>
      <c r="H104" s="213"/>
      <c r="I104" s="213"/>
      <c r="J104" s="216"/>
      <c r="K104" s="213"/>
      <c r="L104" s="213"/>
      <c r="M104" s="213"/>
      <c r="N104" s="213"/>
      <c r="O104" s="213"/>
      <c r="P104" s="213"/>
      <c r="Q104" s="213"/>
      <c r="R104" s="213"/>
      <c r="S104" s="213"/>
      <c r="T104" s="213"/>
      <c r="U104" s="213"/>
      <c r="V104" s="213"/>
      <c r="W104" s="213"/>
      <c r="X104" s="213"/>
      <c r="Y104" s="213"/>
      <c r="Z104" s="213"/>
      <c r="AA104" s="213"/>
      <c r="AB104" s="213"/>
      <c r="AC104" s="213"/>
      <c r="AD104" s="213"/>
      <c r="AE104" s="213"/>
      <c r="AF104" s="213"/>
      <c r="AG104" s="213"/>
      <c r="AH104" s="213"/>
      <c r="AI104" s="213"/>
      <c r="AJ104" s="213"/>
      <c r="AK104" s="213"/>
      <c r="AL104" s="213"/>
      <c r="AM104" s="213"/>
      <c r="AN104" s="213"/>
      <c r="AO104" s="213"/>
      <c r="AP104" s="213"/>
      <c r="AQ104" s="213"/>
      <c r="AR104" s="213"/>
      <c r="AS104" s="213"/>
      <c r="AT104" s="213"/>
      <c r="AU104" s="213"/>
      <c r="AV104" s="213"/>
      <c r="AW104" s="213"/>
      <c r="AX104" s="213"/>
      <c r="AY104" s="213"/>
      <c r="AZ104" s="213"/>
      <c r="BA104" s="213"/>
      <c r="BB104" s="213"/>
      <c r="BC104" s="213"/>
      <c r="BD104" s="213"/>
      <c r="BE104" s="213"/>
      <c r="BF104" s="213"/>
      <c r="BG104" s="213"/>
      <c r="BH104" s="213"/>
      <c r="BI104" s="213"/>
      <c r="BJ104" s="213"/>
      <c r="BK104" s="213"/>
      <c r="BL104" s="213"/>
      <c r="BM104" s="213"/>
      <c r="BN104" s="213"/>
      <c r="BO104" s="213"/>
      <c r="BP104" s="213"/>
      <c r="BQ104" s="213"/>
      <c r="BR104" s="213"/>
      <c r="BS104" s="213"/>
      <c r="BT104" s="213"/>
      <c r="BU104" s="213"/>
      <c r="BV104" s="213"/>
      <c r="BW104" s="213"/>
      <c r="BX104" s="213"/>
      <c r="BY104" s="213"/>
      <c r="BZ104" s="213"/>
      <c r="CA104" s="213"/>
      <c r="CB104" s="213"/>
      <c r="CC104" s="213"/>
      <c r="CD104" s="213"/>
      <c r="CE104" s="213"/>
      <c r="CF104" s="213"/>
      <c r="CG104" s="213"/>
      <c r="CH104" s="213"/>
      <c r="CI104" s="213"/>
      <c r="CJ104" s="213"/>
      <c r="CK104" s="213"/>
      <c r="CL104" s="213"/>
      <c r="CM104" s="213"/>
      <c r="CN104" s="213"/>
      <c r="CO104" s="213"/>
      <c r="CP104" s="213"/>
      <c r="CQ104" s="213"/>
      <c r="CR104" s="213"/>
      <c r="CS104" s="213"/>
      <c r="CT104" s="213"/>
      <c r="CU104" s="213"/>
    </row>
    <row r="105" spans="1:99">
      <c r="A105" s="213"/>
      <c r="B105" s="213"/>
      <c r="C105" s="213"/>
      <c r="D105" s="213"/>
      <c r="E105" s="213"/>
      <c r="F105" s="213"/>
      <c r="G105" s="213"/>
      <c r="H105" s="213"/>
      <c r="I105" s="213"/>
      <c r="J105" s="216"/>
      <c r="K105" s="213"/>
      <c r="L105" s="213"/>
      <c r="M105" s="213"/>
      <c r="N105" s="213"/>
      <c r="O105" s="213"/>
      <c r="P105" s="213"/>
      <c r="Q105" s="213"/>
      <c r="R105" s="213"/>
      <c r="S105" s="213"/>
      <c r="T105" s="213"/>
      <c r="U105" s="213"/>
      <c r="V105" s="213"/>
      <c r="W105" s="213"/>
      <c r="X105" s="213"/>
      <c r="Y105" s="213"/>
      <c r="Z105" s="213"/>
      <c r="AA105" s="213"/>
      <c r="AB105" s="213"/>
      <c r="AC105" s="213"/>
      <c r="AD105" s="213"/>
      <c r="AE105" s="213"/>
      <c r="AF105" s="213"/>
      <c r="AG105" s="213"/>
      <c r="AH105" s="213"/>
      <c r="AI105" s="213"/>
      <c r="AJ105" s="213"/>
      <c r="AK105" s="213"/>
      <c r="AL105" s="213"/>
      <c r="AM105" s="213"/>
      <c r="AN105" s="213"/>
      <c r="AO105" s="213"/>
      <c r="AP105" s="213"/>
      <c r="AQ105" s="213"/>
      <c r="AR105" s="213"/>
      <c r="AS105" s="213"/>
      <c r="AT105" s="213"/>
      <c r="AU105" s="213"/>
      <c r="AV105" s="213"/>
      <c r="AW105" s="213"/>
      <c r="AX105" s="213"/>
      <c r="AY105" s="213"/>
      <c r="AZ105" s="213"/>
      <c r="BA105" s="213"/>
      <c r="BB105" s="213"/>
      <c r="BC105" s="213"/>
      <c r="BD105" s="213"/>
      <c r="BE105" s="213"/>
      <c r="BF105" s="213"/>
      <c r="BG105" s="213"/>
      <c r="BH105" s="213"/>
      <c r="BI105" s="213"/>
      <c r="BJ105" s="213"/>
      <c r="BK105" s="213"/>
      <c r="BL105" s="213"/>
      <c r="BM105" s="213"/>
      <c r="BN105" s="213"/>
      <c r="BO105" s="213"/>
      <c r="BP105" s="213"/>
      <c r="BQ105" s="213"/>
      <c r="BR105" s="213"/>
      <c r="BS105" s="213"/>
      <c r="BT105" s="213"/>
      <c r="BU105" s="213"/>
      <c r="BV105" s="213"/>
      <c r="BW105" s="213"/>
      <c r="BX105" s="213"/>
      <c r="BY105" s="213"/>
      <c r="BZ105" s="213"/>
      <c r="CA105" s="213"/>
      <c r="CB105" s="213"/>
      <c r="CC105" s="213"/>
      <c r="CD105" s="213"/>
      <c r="CE105" s="213"/>
      <c r="CF105" s="213"/>
      <c r="CG105" s="213"/>
      <c r="CH105" s="213"/>
      <c r="CI105" s="213"/>
      <c r="CJ105" s="213"/>
      <c r="CK105" s="213"/>
      <c r="CL105" s="213"/>
      <c r="CM105" s="213"/>
      <c r="CN105" s="213"/>
      <c r="CO105" s="213"/>
      <c r="CP105" s="213"/>
      <c r="CQ105" s="213"/>
      <c r="CR105" s="213"/>
      <c r="CS105" s="213"/>
      <c r="CT105" s="213"/>
      <c r="CU105" s="213"/>
    </row>
    <row r="106" spans="1:99">
      <c r="A106" s="213"/>
      <c r="B106" s="213"/>
      <c r="C106" s="213"/>
      <c r="D106" s="213"/>
      <c r="E106" s="213"/>
      <c r="F106" s="213"/>
      <c r="G106" s="213"/>
      <c r="H106" s="213"/>
      <c r="I106" s="213"/>
      <c r="J106" s="216"/>
      <c r="K106" s="213"/>
      <c r="L106" s="213"/>
      <c r="M106" s="213"/>
      <c r="N106" s="213"/>
      <c r="O106" s="213"/>
      <c r="P106" s="213"/>
      <c r="Q106" s="213"/>
      <c r="R106" s="213"/>
      <c r="S106" s="213"/>
      <c r="T106" s="213"/>
      <c r="U106" s="213"/>
      <c r="V106" s="213"/>
      <c r="W106" s="213"/>
      <c r="X106" s="213"/>
      <c r="Y106" s="213"/>
      <c r="Z106" s="213"/>
      <c r="AA106" s="213"/>
      <c r="AB106" s="213"/>
      <c r="AC106" s="213"/>
      <c r="AD106" s="213"/>
      <c r="AE106" s="213"/>
      <c r="AF106" s="213"/>
      <c r="AG106" s="213"/>
      <c r="AH106" s="213"/>
      <c r="AI106" s="213"/>
      <c r="AJ106" s="213"/>
      <c r="AK106" s="213"/>
      <c r="AL106" s="213"/>
      <c r="AM106" s="213"/>
      <c r="AN106" s="213"/>
      <c r="AO106" s="213"/>
      <c r="AP106" s="213"/>
      <c r="AQ106" s="213"/>
      <c r="AR106" s="213"/>
      <c r="AS106" s="213"/>
      <c r="AT106" s="213"/>
      <c r="AU106" s="213"/>
      <c r="AV106" s="213"/>
      <c r="AW106" s="213"/>
      <c r="AX106" s="213"/>
      <c r="AY106" s="213"/>
      <c r="AZ106" s="213"/>
      <c r="BA106" s="213"/>
      <c r="BB106" s="213"/>
      <c r="BC106" s="213"/>
      <c r="BD106" s="213"/>
      <c r="BE106" s="213"/>
      <c r="BF106" s="213"/>
      <c r="BG106" s="213"/>
      <c r="BH106" s="213"/>
      <c r="BI106" s="213"/>
      <c r="BJ106" s="213"/>
      <c r="BK106" s="213"/>
      <c r="BL106" s="213"/>
      <c r="BM106" s="213"/>
      <c r="BN106" s="213"/>
      <c r="BO106" s="213"/>
      <c r="BP106" s="213"/>
      <c r="BQ106" s="213"/>
      <c r="BR106" s="213"/>
      <c r="BS106" s="213"/>
      <c r="BT106" s="213"/>
      <c r="BU106" s="213"/>
      <c r="BV106" s="213"/>
      <c r="BW106" s="213"/>
      <c r="BX106" s="213"/>
      <c r="BY106" s="213"/>
      <c r="BZ106" s="213"/>
      <c r="CA106" s="213"/>
      <c r="CB106" s="213"/>
      <c r="CC106" s="213"/>
      <c r="CD106" s="213"/>
      <c r="CE106" s="213"/>
      <c r="CF106" s="213"/>
      <c r="CG106" s="213"/>
      <c r="CH106" s="213"/>
      <c r="CI106" s="213"/>
      <c r="CJ106" s="213"/>
      <c r="CK106" s="213"/>
      <c r="CL106" s="213"/>
      <c r="CM106" s="213"/>
      <c r="CN106" s="213"/>
      <c r="CO106" s="213"/>
      <c r="CP106" s="213"/>
      <c r="CQ106" s="213"/>
      <c r="CR106" s="213"/>
      <c r="CS106" s="213"/>
      <c r="CT106" s="213"/>
      <c r="CU106" s="213"/>
    </row>
    <row r="107" spans="1:99">
      <c r="A107" s="213"/>
      <c r="B107" s="213"/>
      <c r="C107" s="213"/>
      <c r="D107" s="213"/>
      <c r="E107" s="213"/>
      <c r="F107" s="213"/>
      <c r="G107" s="213"/>
      <c r="H107" s="213"/>
      <c r="I107" s="213"/>
      <c r="J107" s="216"/>
      <c r="K107" s="213"/>
      <c r="L107" s="213"/>
      <c r="M107" s="213"/>
      <c r="N107" s="213"/>
      <c r="O107" s="213"/>
      <c r="P107" s="213"/>
      <c r="Q107" s="213"/>
      <c r="R107" s="213"/>
      <c r="S107" s="213"/>
      <c r="T107" s="213"/>
      <c r="U107" s="213"/>
      <c r="V107" s="213"/>
      <c r="W107" s="213"/>
      <c r="X107" s="213"/>
      <c r="Y107" s="213"/>
      <c r="Z107" s="213"/>
      <c r="AA107" s="213"/>
      <c r="AB107" s="213"/>
      <c r="AC107" s="213"/>
      <c r="AD107" s="213"/>
      <c r="AE107" s="213"/>
      <c r="AF107" s="213"/>
      <c r="AG107" s="213"/>
      <c r="AH107" s="213"/>
      <c r="AI107" s="213"/>
      <c r="AJ107" s="213"/>
      <c r="AK107" s="213"/>
      <c r="AL107" s="213"/>
      <c r="AM107" s="213"/>
      <c r="AN107" s="213"/>
      <c r="AO107" s="213"/>
      <c r="AP107" s="213"/>
      <c r="AQ107" s="213"/>
      <c r="AR107" s="213"/>
      <c r="AS107" s="213"/>
      <c r="AT107" s="213"/>
      <c r="AU107" s="213"/>
      <c r="AV107" s="213"/>
      <c r="AW107" s="213"/>
      <c r="AX107" s="213"/>
      <c r="AY107" s="213"/>
      <c r="AZ107" s="213"/>
      <c r="BA107" s="213"/>
      <c r="BB107" s="213"/>
      <c r="BC107" s="213"/>
      <c r="BD107" s="213"/>
      <c r="BE107" s="213"/>
      <c r="BF107" s="213"/>
      <c r="BG107" s="213"/>
      <c r="BH107" s="213"/>
      <c r="BI107" s="213"/>
      <c r="BJ107" s="213"/>
      <c r="BK107" s="213"/>
      <c r="BL107" s="213"/>
      <c r="BM107" s="213"/>
      <c r="BN107" s="213"/>
      <c r="BO107" s="213"/>
      <c r="BP107" s="213"/>
      <c r="BQ107" s="213"/>
      <c r="BR107" s="213"/>
      <c r="BS107" s="213"/>
      <c r="BT107" s="213"/>
      <c r="BU107" s="213"/>
      <c r="BV107" s="213"/>
      <c r="BW107" s="213"/>
      <c r="BX107" s="213"/>
      <c r="BY107" s="213"/>
      <c r="BZ107" s="213"/>
      <c r="CA107" s="213"/>
      <c r="CB107" s="213"/>
      <c r="CC107" s="213"/>
      <c r="CD107" s="213"/>
      <c r="CE107" s="213"/>
      <c r="CF107" s="213"/>
      <c r="CG107" s="213"/>
      <c r="CH107" s="213"/>
      <c r="CI107" s="213"/>
      <c r="CJ107" s="213"/>
      <c r="CK107" s="213"/>
      <c r="CL107" s="213"/>
      <c r="CM107" s="213"/>
      <c r="CN107" s="213"/>
      <c r="CO107" s="213"/>
      <c r="CP107" s="213"/>
      <c r="CQ107" s="213"/>
      <c r="CR107" s="213"/>
      <c r="CS107" s="213"/>
      <c r="CT107" s="213"/>
      <c r="CU107" s="213"/>
    </row>
    <row r="108" spans="1:99">
      <c r="A108" s="213"/>
      <c r="B108" s="213"/>
      <c r="C108" s="213"/>
      <c r="D108" s="213"/>
      <c r="E108" s="213"/>
      <c r="F108" s="213"/>
      <c r="G108" s="213"/>
      <c r="H108" s="213"/>
      <c r="I108" s="213"/>
      <c r="J108" s="216"/>
      <c r="K108" s="213"/>
      <c r="L108" s="213"/>
      <c r="M108" s="213"/>
      <c r="N108" s="213"/>
      <c r="O108" s="213"/>
      <c r="P108" s="213"/>
      <c r="Q108" s="213"/>
      <c r="R108" s="213"/>
      <c r="S108" s="213"/>
      <c r="T108" s="213"/>
      <c r="U108" s="213"/>
      <c r="V108" s="213"/>
      <c r="W108" s="213"/>
      <c r="X108" s="213"/>
      <c r="Y108" s="213"/>
      <c r="Z108" s="213"/>
      <c r="AA108" s="213"/>
      <c r="AB108" s="213"/>
      <c r="AC108" s="213"/>
      <c r="AD108" s="213"/>
      <c r="AE108" s="213"/>
      <c r="AF108" s="213"/>
      <c r="AG108" s="213"/>
      <c r="AH108" s="213"/>
      <c r="AI108" s="213"/>
      <c r="AJ108" s="213"/>
      <c r="AK108" s="213"/>
      <c r="AL108" s="213"/>
      <c r="AM108" s="213"/>
      <c r="AN108" s="213"/>
      <c r="AO108" s="213"/>
      <c r="AP108" s="213"/>
      <c r="AQ108" s="213"/>
      <c r="AR108" s="213"/>
      <c r="AS108" s="213"/>
      <c r="AT108" s="213"/>
      <c r="AU108" s="213"/>
      <c r="AV108" s="213"/>
      <c r="AW108" s="213"/>
      <c r="AX108" s="213"/>
      <c r="AY108" s="213"/>
      <c r="AZ108" s="213"/>
      <c r="BA108" s="213"/>
      <c r="BB108" s="213"/>
      <c r="BC108" s="213"/>
      <c r="BD108" s="213"/>
      <c r="BE108" s="213"/>
      <c r="BF108" s="213"/>
      <c r="BG108" s="213"/>
      <c r="BH108" s="213"/>
      <c r="BI108" s="213"/>
      <c r="BJ108" s="213"/>
      <c r="BK108" s="213"/>
      <c r="BL108" s="213"/>
      <c r="BM108" s="213"/>
      <c r="BN108" s="213"/>
      <c r="BO108" s="213"/>
      <c r="BP108" s="213"/>
      <c r="BQ108" s="213"/>
      <c r="BR108" s="213"/>
      <c r="BS108" s="213"/>
      <c r="BT108" s="213"/>
      <c r="BU108" s="213"/>
      <c r="BV108" s="213"/>
      <c r="BW108" s="213"/>
      <c r="BX108" s="213"/>
      <c r="BY108" s="213"/>
      <c r="BZ108" s="213"/>
      <c r="CA108" s="213"/>
      <c r="CB108" s="213"/>
      <c r="CC108" s="213"/>
      <c r="CD108" s="213"/>
      <c r="CE108" s="213"/>
      <c r="CF108" s="213"/>
      <c r="CG108" s="213"/>
      <c r="CH108" s="213"/>
      <c r="CI108" s="213"/>
      <c r="CJ108" s="213"/>
      <c r="CK108" s="213"/>
      <c r="CL108" s="213"/>
      <c r="CM108" s="213"/>
      <c r="CN108" s="213"/>
      <c r="CO108" s="213"/>
      <c r="CP108" s="213"/>
      <c r="CQ108" s="213"/>
      <c r="CR108" s="213"/>
      <c r="CS108" s="213"/>
      <c r="CT108" s="213"/>
      <c r="CU108" s="213"/>
    </row>
    <row r="109" spans="1:99">
      <c r="A109" s="213"/>
      <c r="B109" s="213"/>
      <c r="C109" s="213"/>
      <c r="D109" s="213"/>
      <c r="E109" s="213"/>
      <c r="F109" s="213"/>
      <c r="G109" s="213"/>
      <c r="H109" s="213"/>
      <c r="I109" s="213"/>
      <c r="J109" s="216"/>
      <c r="K109" s="213"/>
      <c r="L109" s="213"/>
      <c r="M109" s="213"/>
      <c r="N109" s="213"/>
      <c r="O109" s="213"/>
      <c r="P109" s="213"/>
      <c r="Q109" s="213"/>
      <c r="R109" s="213"/>
      <c r="S109" s="213"/>
      <c r="T109" s="213"/>
      <c r="U109" s="213"/>
      <c r="V109" s="213"/>
      <c r="W109" s="213"/>
      <c r="X109" s="213"/>
      <c r="Y109" s="213"/>
      <c r="Z109" s="213"/>
      <c r="AA109" s="213"/>
      <c r="AB109" s="213"/>
      <c r="AC109" s="213"/>
      <c r="AD109" s="213"/>
      <c r="AE109" s="213"/>
      <c r="AF109" s="213"/>
      <c r="AG109" s="213"/>
      <c r="AH109" s="213"/>
      <c r="AI109" s="213"/>
      <c r="AJ109" s="213"/>
      <c r="AK109" s="213"/>
      <c r="AL109" s="213"/>
      <c r="AM109" s="213"/>
      <c r="AN109" s="213"/>
      <c r="AO109" s="213"/>
      <c r="AP109" s="213"/>
      <c r="AQ109" s="213"/>
      <c r="AR109" s="213"/>
      <c r="AS109" s="213"/>
      <c r="AT109" s="213"/>
      <c r="AU109" s="213"/>
      <c r="AV109" s="213"/>
      <c r="AW109" s="213"/>
      <c r="AX109" s="213"/>
      <c r="AY109" s="213"/>
      <c r="AZ109" s="213"/>
      <c r="BA109" s="213"/>
      <c r="BB109" s="213"/>
      <c r="BC109" s="213"/>
      <c r="BD109" s="213"/>
      <c r="BE109" s="213"/>
      <c r="BF109" s="213"/>
      <c r="BG109" s="213"/>
      <c r="BH109" s="213"/>
      <c r="BI109" s="213"/>
      <c r="BJ109" s="213"/>
      <c r="BK109" s="213"/>
      <c r="BL109" s="213"/>
      <c r="BM109" s="213"/>
      <c r="BN109" s="213"/>
      <c r="BO109" s="213"/>
      <c r="BP109" s="213"/>
      <c r="BQ109" s="213"/>
      <c r="BR109" s="213"/>
      <c r="BS109" s="213"/>
      <c r="BT109" s="213"/>
      <c r="BU109" s="213"/>
      <c r="BV109" s="213"/>
      <c r="BW109" s="213"/>
      <c r="BX109" s="213"/>
      <c r="BY109" s="213"/>
      <c r="BZ109" s="213"/>
      <c r="CA109" s="213"/>
      <c r="CB109" s="213"/>
      <c r="CC109" s="213"/>
      <c r="CD109" s="213"/>
      <c r="CE109" s="213"/>
      <c r="CF109" s="213"/>
      <c r="CG109" s="213"/>
      <c r="CH109" s="213"/>
      <c r="CI109" s="213"/>
      <c r="CJ109" s="213"/>
      <c r="CK109" s="213"/>
      <c r="CL109" s="213"/>
      <c r="CM109" s="213"/>
      <c r="CN109" s="213"/>
      <c r="CO109" s="213"/>
      <c r="CP109" s="213"/>
      <c r="CQ109" s="213"/>
      <c r="CR109" s="213"/>
      <c r="CS109" s="213"/>
      <c r="CT109" s="213"/>
      <c r="CU109" s="213"/>
    </row>
    <row r="110" spans="1:99">
      <c r="A110" s="213"/>
      <c r="B110" s="213"/>
      <c r="C110" s="213"/>
      <c r="D110" s="213"/>
      <c r="E110" s="213"/>
      <c r="F110" s="213"/>
      <c r="G110" s="213"/>
      <c r="H110" s="213"/>
      <c r="I110" s="213"/>
      <c r="J110" s="216"/>
      <c r="K110" s="213"/>
      <c r="L110" s="213"/>
      <c r="M110" s="213"/>
      <c r="N110" s="213"/>
      <c r="O110" s="213"/>
      <c r="P110" s="213"/>
      <c r="Q110" s="213"/>
      <c r="R110" s="213"/>
      <c r="S110" s="213"/>
      <c r="T110" s="213"/>
      <c r="U110" s="213"/>
      <c r="V110" s="213"/>
      <c r="W110" s="213"/>
      <c r="X110" s="213"/>
      <c r="Y110" s="213"/>
      <c r="Z110" s="213"/>
      <c r="AA110" s="213"/>
      <c r="AB110" s="213"/>
      <c r="AC110" s="213"/>
      <c r="AD110" s="213"/>
      <c r="AE110" s="213"/>
      <c r="AF110" s="213"/>
      <c r="AG110" s="213"/>
      <c r="AH110" s="213"/>
      <c r="AI110" s="213"/>
      <c r="AJ110" s="213"/>
      <c r="AK110" s="213"/>
      <c r="AL110" s="213"/>
      <c r="AM110" s="213"/>
      <c r="AN110" s="213"/>
      <c r="AO110" s="213"/>
      <c r="AP110" s="213"/>
      <c r="AQ110" s="213"/>
      <c r="AR110" s="213"/>
      <c r="AS110" s="213"/>
      <c r="AT110" s="213"/>
      <c r="AU110" s="213"/>
      <c r="AV110" s="213"/>
      <c r="AW110" s="213"/>
      <c r="AX110" s="213"/>
      <c r="AY110" s="213"/>
      <c r="AZ110" s="213"/>
      <c r="BA110" s="213"/>
      <c r="BB110" s="213"/>
      <c r="BC110" s="213"/>
      <c r="BD110" s="213"/>
      <c r="BE110" s="213"/>
      <c r="BF110" s="213"/>
      <c r="BG110" s="213"/>
      <c r="BH110" s="213"/>
      <c r="BI110" s="213"/>
      <c r="BJ110" s="213"/>
      <c r="BK110" s="213"/>
      <c r="BL110" s="213"/>
      <c r="BM110" s="213"/>
      <c r="BN110" s="213"/>
      <c r="BO110" s="213"/>
      <c r="BP110" s="213"/>
      <c r="BQ110" s="213"/>
      <c r="BR110" s="213"/>
      <c r="BS110" s="213"/>
      <c r="BT110" s="213"/>
      <c r="BU110" s="213"/>
      <c r="BV110" s="213"/>
      <c r="BW110" s="213"/>
      <c r="BX110" s="213"/>
      <c r="BY110" s="213"/>
      <c r="BZ110" s="213"/>
      <c r="CA110" s="213"/>
      <c r="CB110" s="213"/>
      <c r="CC110" s="213"/>
      <c r="CD110" s="213"/>
      <c r="CE110" s="213"/>
      <c r="CF110" s="213"/>
      <c r="CG110" s="213"/>
      <c r="CH110" s="213"/>
      <c r="CI110" s="213"/>
      <c r="CJ110" s="213"/>
      <c r="CK110" s="213"/>
      <c r="CL110" s="213"/>
      <c r="CM110" s="213"/>
      <c r="CN110" s="213"/>
      <c r="CO110" s="213"/>
      <c r="CP110" s="213"/>
      <c r="CQ110" s="213"/>
      <c r="CR110" s="213"/>
      <c r="CS110" s="213"/>
      <c r="CT110" s="213"/>
      <c r="CU110" s="213"/>
    </row>
    <row r="111" spans="1:99">
      <c r="A111" s="213"/>
      <c r="B111" s="213"/>
      <c r="C111" s="213"/>
      <c r="D111" s="213"/>
      <c r="E111" s="213"/>
      <c r="F111" s="213"/>
      <c r="G111" s="213"/>
      <c r="H111" s="213"/>
      <c r="I111" s="213"/>
      <c r="J111" s="216"/>
      <c r="K111" s="213"/>
      <c r="L111" s="213"/>
      <c r="M111" s="213"/>
      <c r="N111" s="213"/>
      <c r="O111" s="213"/>
      <c r="P111" s="213"/>
      <c r="Q111" s="213"/>
      <c r="R111" s="213"/>
      <c r="S111" s="213"/>
      <c r="T111" s="213"/>
      <c r="U111" s="213"/>
      <c r="V111" s="213"/>
      <c r="W111" s="213"/>
      <c r="X111" s="213"/>
      <c r="Y111" s="213"/>
      <c r="Z111" s="213"/>
      <c r="AA111" s="213"/>
      <c r="AB111" s="213"/>
      <c r="AC111" s="213"/>
      <c r="AD111" s="213"/>
      <c r="AE111" s="213"/>
      <c r="AF111" s="213"/>
      <c r="AG111" s="213"/>
      <c r="AH111" s="213"/>
      <c r="AI111" s="213"/>
      <c r="AJ111" s="213"/>
      <c r="AK111" s="213"/>
      <c r="AL111" s="213"/>
      <c r="AM111" s="213"/>
      <c r="AN111" s="213"/>
      <c r="AO111" s="213"/>
      <c r="AP111" s="213"/>
      <c r="AQ111" s="213"/>
      <c r="AR111" s="213"/>
      <c r="AS111" s="213"/>
      <c r="AT111" s="213"/>
      <c r="AU111" s="213"/>
      <c r="AV111" s="213"/>
      <c r="AW111" s="213"/>
      <c r="AX111" s="213"/>
      <c r="AY111" s="213"/>
      <c r="AZ111" s="213"/>
      <c r="BA111" s="213"/>
      <c r="BB111" s="213"/>
      <c r="BC111" s="213"/>
      <c r="BD111" s="213"/>
      <c r="BE111" s="213"/>
      <c r="BF111" s="213"/>
      <c r="BG111" s="213"/>
      <c r="BH111" s="213"/>
      <c r="BI111" s="213"/>
      <c r="BJ111" s="213"/>
      <c r="BK111" s="213"/>
      <c r="BL111" s="213"/>
      <c r="BM111" s="213"/>
      <c r="BN111" s="213"/>
      <c r="BO111" s="213"/>
      <c r="BP111" s="213"/>
      <c r="BQ111" s="213"/>
      <c r="BR111" s="213"/>
      <c r="BS111" s="213"/>
      <c r="BT111" s="213"/>
      <c r="BU111" s="213"/>
      <c r="BV111" s="213"/>
      <c r="BW111" s="213"/>
      <c r="BX111" s="213"/>
      <c r="BY111" s="213"/>
      <c r="BZ111" s="213"/>
      <c r="CA111" s="213"/>
      <c r="CB111" s="213"/>
      <c r="CC111" s="213"/>
      <c r="CD111" s="213"/>
      <c r="CE111" s="213"/>
      <c r="CF111" s="213"/>
      <c r="CG111" s="213"/>
      <c r="CH111" s="213"/>
      <c r="CI111" s="213"/>
      <c r="CJ111" s="213"/>
      <c r="CK111" s="213"/>
      <c r="CL111" s="213"/>
      <c r="CM111" s="213"/>
      <c r="CN111" s="213"/>
      <c r="CO111" s="213"/>
      <c r="CP111" s="213"/>
      <c r="CQ111" s="213"/>
      <c r="CR111" s="213"/>
      <c r="CS111" s="213"/>
      <c r="CT111" s="213"/>
      <c r="CU111" s="213"/>
    </row>
    <row r="112" spans="1:99">
      <c r="A112" s="213"/>
      <c r="B112" s="213"/>
      <c r="C112" s="213"/>
      <c r="D112" s="213"/>
      <c r="E112" s="213"/>
      <c r="F112" s="213"/>
      <c r="G112" s="213"/>
      <c r="H112" s="213"/>
      <c r="I112" s="213"/>
      <c r="J112" s="216"/>
      <c r="K112" s="213"/>
      <c r="L112" s="213"/>
      <c r="M112" s="213"/>
      <c r="N112" s="213"/>
      <c r="O112" s="213"/>
      <c r="P112" s="213"/>
      <c r="Q112" s="213"/>
      <c r="R112" s="213"/>
      <c r="S112" s="213"/>
      <c r="T112" s="213"/>
      <c r="U112" s="213"/>
      <c r="V112" s="213"/>
      <c r="W112" s="213"/>
      <c r="X112" s="213"/>
      <c r="Y112" s="213"/>
      <c r="Z112" s="213"/>
      <c r="AA112" s="213"/>
      <c r="AB112" s="213"/>
      <c r="AC112" s="213"/>
      <c r="AD112" s="213"/>
      <c r="AE112" s="213"/>
      <c r="AF112" s="213"/>
      <c r="AG112" s="213"/>
      <c r="AH112" s="213"/>
      <c r="AI112" s="213"/>
      <c r="AJ112" s="213"/>
      <c r="AK112" s="213"/>
      <c r="AL112" s="213"/>
      <c r="AM112" s="213"/>
      <c r="AN112" s="213"/>
      <c r="AO112" s="213"/>
      <c r="AP112" s="213"/>
      <c r="AQ112" s="213"/>
      <c r="AR112" s="213"/>
      <c r="AS112" s="213"/>
      <c r="AT112" s="213"/>
      <c r="AU112" s="213"/>
      <c r="AV112" s="213"/>
      <c r="AW112" s="213"/>
      <c r="AX112" s="213"/>
      <c r="AY112" s="213"/>
      <c r="AZ112" s="213"/>
      <c r="BA112" s="213"/>
      <c r="BB112" s="213"/>
      <c r="BC112" s="213"/>
      <c r="BD112" s="213"/>
      <c r="BE112" s="213"/>
      <c r="BF112" s="213"/>
      <c r="BG112" s="213"/>
      <c r="BH112" s="213"/>
      <c r="BI112" s="213"/>
      <c r="BJ112" s="213"/>
      <c r="BK112" s="213"/>
      <c r="BL112" s="213"/>
      <c r="BM112" s="213"/>
      <c r="BN112" s="213"/>
      <c r="BO112" s="213"/>
      <c r="BP112" s="213"/>
      <c r="BQ112" s="213"/>
      <c r="BR112" s="213"/>
      <c r="BS112" s="213"/>
      <c r="BT112" s="213"/>
      <c r="BU112" s="213"/>
      <c r="BV112" s="213"/>
      <c r="BW112" s="213"/>
      <c r="BX112" s="213"/>
      <c r="BY112" s="213"/>
      <c r="BZ112" s="213"/>
      <c r="CA112" s="213"/>
      <c r="CB112" s="213"/>
      <c r="CC112" s="213"/>
      <c r="CD112" s="213"/>
      <c r="CE112" s="213"/>
      <c r="CF112" s="213"/>
      <c r="CG112" s="213"/>
      <c r="CH112" s="213"/>
      <c r="CI112" s="213"/>
      <c r="CJ112" s="213"/>
      <c r="CK112" s="213"/>
      <c r="CL112" s="213"/>
      <c r="CM112" s="213"/>
      <c r="CN112" s="213"/>
      <c r="CO112" s="213"/>
      <c r="CP112" s="213"/>
      <c r="CQ112" s="213"/>
      <c r="CR112" s="213"/>
      <c r="CS112" s="213"/>
      <c r="CT112" s="213"/>
      <c r="CU112" s="213"/>
    </row>
    <row r="113" spans="1:99">
      <c r="A113" s="213"/>
      <c r="B113" s="213"/>
      <c r="C113" s="213"/>
      <c r="D113" s="213"/>
      <c r="E113" s="213"/>
      <c r="F113" s="213"/>
      <c r="G113" s="213"/>
      <c r="H113" s="213"/>
      <c r="I113" s="213"/>
      <c r="J113" s="216"/>
      <c r="K113" s="213"/>
      <c r="L113" s="213"/>
      <c r="M113" s="213"/>
      <c r="N113" s="213"/>
      <c r="O113" s="213"/>
      <c r="P113" s="213"/>
      <c r="Q113" s="213"/>
      <c r="R113" s="213"/>
      <c r="S113" s="213"/>
      <c r="T113" s="213"/>
      <c r="U113" s="213"/>
      <c r="V113" s="213"/>
      <c r="W113" s="213"/>
      <c r="X113" s="213"/>
      <c r="Y113" s="213"/>
      <c r="Z113" s="213"/>
      <c r="AA113" s="213"/>
      <c r="AB113" s="213"/>
      <c r="AC113" s="213"/>
      <c r="AD113" s="213"/>
      <c r="AE113" s="213"/>
      <c r="AF113" s="213"/>
      <c r="AG113" s="213"/>
      <c r="AH113" s="213"/>
      <c r="AI113" s="213"/>
      <c r="AJ113" s="213"/>
      <c r="AK113" s="213"/>
      <c r="AL113" s="213"/>
      <c r="AM113" s="213"/>
      <c r="AN113" s="213"/>
      <c r="AO113" s="213"/>
      <c r="AP113" s="213"/>
      <c r="AQ113" s="213"/>
      <c r="AR113" s="213"/>
      <c r="AS113" s="213"/>
      <c r="AT113" s="213"/>
      <c r="AU113" s="213"/>
      <c r="AV113" s="213"/>
      <c r="AW113" s="213"/>
      <c r="AX113" s="213"/>
      <c r="AY113" s="213"/>
      <c r="AZ113" s="213"/>
      <c r="BA113" s="213"/>
      <c r="BB113" s="213"/>
      <c r="BC113" s="213"/>
      <c r="BD113" s="213"/>
      <c r="BE113" s="213"/>
      <c r="BF113" s="213"/>
      <c r="BG113" s="213"/>
      <c r="BH113" s="213"/>
      <c r="BI113" s="213"/>
      <c r="BJ113" s="213"/>
      <c r="BK113" s="213"/>
      <c r="BL113" s="213"/>
      <c r="BM113" s="213"/>
      <c r="BN113" s="213"/>
      <c r="BO113" s="213"/>
      <c r="BP113" s="213"/>
      <c r="BQ113" s="213"/>
      <c r="BR113" s="213"/>
      <c r="BS113" s="213"/>
      <c r="BT113" s="213"/>
      <c r="BU113" s="213"/>
      <c r="BV113" s="213"/>
      <c r="BW113" s="213"/>
      <c r="BX113" s="213"/>
      <c r="BY113" s="213"/>
      <c r="BZ113" s="213"/>
      <c r="CA113" s="213"/>
      <c r="CB113" s="213"/>
      <c r="CC113" s="213"/>
      <c r="CD113" s="213"/>
      <c r="CE113" s="213"/>
      <c r="CF113" s="213"/>
      <c r="CG113" s="213"/>
      <c r="CH113" s="213"/>
      <c r="CI113" s="213"/>
      <c r="CJ113" s="213"/>
      <c r="CK113" s="213"/>
      <c r="CL113" s="213"/>
      <c r="CM113" s="213"/>
      <c r="CN113" s="213"/>
      <c r="CO113" s="213"/>
      <c r="CP113" s="213"/>
      <c r="CQ113" s="213"/>
      <c r="CR113" s="213"/>
      <c r="CS113" s="213"/>
      <c r="CT113" s="213"/>
      <c r="CU113" s="213"/>
    </row>
    <row r="114" spans="1:99">
      <c r="A114" s="213"/>
      <c r="B114" s="213"/>
      <c r="C114" s="213"/>
      <c r="D114" s="213"/>
      <c r="E114" s="213"/>
      <c r="F114" s="213"/>
      <c r="G114" s="213"/>
      <c r="H114" s="213"/>
      <c r="I114" s="213"/>
      <c r="J114" s="216"/>
      <c r="K114" s="213"/>
      <c r="L114" s="213"/>
      <c r="M114" s="213"/>
      <c r="N114" s="213"/>
      <c r="O114" s="213"/>
      <c r="P114" s="213"/>
      <c r="Q114" s="213"/>
      <c r="R114" s="213"/>
      <c r="S114" s="213"/>
      <c r="T114" s="213"/>
      <c r="U114" s="213"/>
      <c r="V114" s="213"/>
      <c r="W114" s="213"/>
      <c r="X114" s="213"/>
      <c r="Y114" s="213"/>
      <c r="Z114" s="213"/>
      <c r="AA114" s="213"/>
      <c r="AB114" s="213"/>
      <c r="AC114" s="213"/>
      <c r="AD114" s="213"/>
      <c r="AE114" s="213"/>
      <c r="AF114" s="213"/>
      <c r="AG114" s="213"/>
      <c r="AH114" s="213"/>
      <c r="AI114" s="213"/>
      <c r="AJ114" s="213"/>
      <c r="AK114" s="213"/>
      <c r="AL114" s="213"/>
      <c r="AM114" s="213"/>
      <c r="AN114" s="213"/>
      <c r="AO114" s="213"/>
      <c r="AP114" s="213"/>
      <c r="AQ114" s="213"/>
      <c r="AR114" s="213"/>
      <c r="AS114" s="213"/>
      <c r="AT114" s="213"/>
      <c r="AU114" s="213"/>
      <c r="AV114" s="213"/>
      <c r="AW114" s="213"/>
      <c r="AX114" s="213"/>
      <c r="AY114" s="213"/>
      <c r="AZ114" s="213"/>
      <c r="BA114" s="213"/>
      <c r="BB114" s="213"/>
      <c r="BC114" s="213"/>
      <c r="BD114" s="213"/>
      <c r="BE114" s="213"/>
      <c r="BF114" s="213"/>
      <c r="BG114" s="213"/>
      <c r="BH114" s="213"/>
      <c r="BI114" s="213"/>
      <c r="BJ114" s="213"/>
      <c r="BK114" s="213"/>
      <c r="BL114" s="213"/>
      <c r="BM114" s="213"/>
      <c r="BN114" s="213"/>
      <c r="BO114" s="213"/>
      <c r="BP114" s="213"/>
      <c r="BQ114" s="213"/>
      <c r="BR114" s="213"/>
      <c r="BS114" s="213"/>
      <c r="BT114" s="213"/>
      <c r="BU114" s="213"/>
      <c r="BV114" s="213"/>
      <c r="BW114" s="213"/>
      <c r="BX114" s="213"/>
      <c r="BY114" s="213"/>
      <c r="BZ114" s="213"/>
      <c r="CA114" s="213"/>
      <c r="CB114" s="213"/>
      <c r="CC114" s="213"/>
      <c r="CD114" s="213"/>
      <c r="CE114" s="213"/>
      <c r="CF114" s="213"/>
      <c r="CG114" s="213"/>
      <c r="CH114" s="213"/>
      <c r="CI114" s="213"/>
      <c r="CJ114" s="213"/>
      <c r="CK114" s="213"/>
      <c r="CL114" s="213"/>
      <c r="CM114" s="213"/>
      <c r="CN114" s="213"/>
      <c r="CO114" s="213"/>
      <c r="CP114" s="213"/>
      <c r="CQ114" s="213"/>
      <c r="CR114" s="213"/>
      <c r="CS114" s="213"/>
      <c r="CT114" s="213"/>
      <c r="CU114" s="213"/>
    </row>
    <row r="115" spans="1:99">
      <c r="A115" s="213"/>
      <c r="B115" s="213"/>
      <c r="C115" s="213"/>
      <c r="D115" s="213"/>
      <c r="E115" s="213"/>
      <c r="F115" s="213"/>
      <c r="G115" s="213"/>
      <c r="H115" s="213"/>
      <c r="I115" s="213"/>
      <c r="J115" s="216"/>
      <c r="K115" s="213"/>
      <c r="L115" s="213"/>
      <c r="M115" s="213"/>
      <c r="N115" s="213"/>
      <c r="O115" s="213"/>
      <c r="P115" s="213"/>
      <c r="Q115" s="213"/>
      <c r="R115" s="213"/>
      <c r="S115" s="213"/>
      <c r="T115" s="213"/>
      <c r="U115" s="213"/>
      <c r="V115" s="213"/>
      <c r="W115" s="213"/>
      <c r="X115" s="213"/>
      <c r="Y115" s="213"/>
      <c r="Z115" s="213"/>
      <c r="AA115" s="213"/>
      <c r="AB115" s="213"/>
      <c r="AC115" s="213"/>
      <c r="AD115" s="213"/>
      <c r="AE115" s="213"/>
      <c r="AF115" s="213"/>
      <c r="AG115" s="213"/>
      <c r="AH115" s="213"/>
      <c r="AI115" s="213"/>
      <c r="AJ115" s="213"/>
      <c r="AK115" s="213"/>
      <c r="AL115" s="213"/>
      <c r="AM115" s="213"/>
      <c r="AN115" s="213"/>
      <c r="AO115" s="213"/>
      <c r="AP115" s="213"/>
      <c r="AQ115" s="213"/>
      <c r="AR115" s="213"/>
      <c r="AS115" s="213"/>
      <c r="AT115" s="213"/>
      <c r="AU115" s="213"/>
      <c r="AV115" s="213"/>
      <c r="AW115" s="213"/>
      <c r="AX115" s="213"/>
      <c r="AY115" s="213"/>
      <c r="AZ115" s="213"/>
      <c r="BA115" s="213"/>
      <c r="BB115" s="213"/>
      <c r="BC115" s="213"/>
      <c r="BD115" s="213"/>
      <c r="BE115" s="213"/>
      <c r="BF115" s="213"/>
      <c r="BG115" s="213"/>
      <c r="BH115" s="213"/>
      <c r="BI115" s="213"/>
      <c r="BJ115" s="213"/>
      <c r="BK115" s="213"/>
      <c r="BL115" s="213"/>
      <c r="BM115" s="213"/>
      <c r="BN115" s="213"/>
      <c r="BO115" s="213"/>
      <c r="BP115" s="213"/>
      <c r="BQ115" s="213"/>
      <c r="BR115" s="213"/>
      <c r="BS115" s="213"/>
      <c r="BT115" s="213"/>
      <c r="BU115" s="213"/>
      <c r="BV115" s="213"/>
      <c r="BW115" s="213"/>
      <c r="BX115" s="213"/>
      <c r="BY115" s="213"/>
      <c r="BZ115" s="213"/>
      <c r="CA115" s="213"/>
      <c r="CB115" s="213"/>
      <c r="CC115" s="213"/>
      <c r="CD115" s="213"/>
      <c r="CE115" s="213"/>
      <c r="CF115" s="213"/>
      <c r="CG115" s="213"/>
      <c r="CH115" s="213"/>
      <c r="CI115" s="213"/>
      <c r="CJ115" s="213"/>
      <c r="CK115" s="213"/>
      <c r="CL115" s="213"/>
      <c r="CM115" s="213"/>
      <c r="CN115" s="213"/>
      <c r="CO115" s="213"/>
      <c r="CP115" s="213"/>
      <c r="CQ115" s="213"/>
      <c r="CR115" s="213"/>
      <c r="CS115" s="213"/>
      <c r="CT115" s="213"/>
      <c r="CU115" s="213"/>
    </row>
    <row r="116" spans="1:99">
      <c r="A116" s="213"/>
      <c r="B116" s="213"/>
      <c r="C116" s="213"/>
      <c r="D116" s="213"/>
      <c r="E116" s="213"/>
      <c r="F116" s="213"/>
      <c r="G116" s="213"/>
      <c r="H116" s="213"/>
      <c r="I116" s="213"/>
      <c r="J116" s="216"/>
      <c r="K116" s="213"/>
      <c r="L116" s="213"/>
      <c r="M116" s="213"/>
      <c r="N116" s="213"/>
      <c r="O116" s="213"/>
      <c r="P116" s="213"/>
      <c r="Q116" s="213"/>
      <c r="R116" s="213"/>
      <c r="S116" s="213"/>
      <c r="T116" s="213"/>
      <c r="U116" s="213"/>
      <c r="V116" s="213"/>
      <c r="W116" s="213"/>
      <c r="X116" s="213"/>
      <c r="Y116" s="213"/>
      <c r="Z116" s="213"/>
      <c r="AA116" s="213"/>
      <c r="AB116" s="213"/>
      <c r="AC116" s="213"/>
      <c r="AD116" s="213"/>
      <c r="AE116" s="213"/>
      <c r="AF116" s="213"/>
      <c r="AG116" s="213"/>
      <c r="AH116" s="213"/>
      <c r="AI116" s="213"/>
      <c r="AJ116" s="213"/>
      <c r="AK116" s="213"/>
      <c r="AL116" s="213"/>
      <c r="AM116" s="213"/>
      <c r="AN116" s="213"/>
      <c r="AO116" s="213"/>
      <c r="AP116" s="213"/>
      <c r="AQ116" s="213"/>
      <c r="AR116" s="213"/>
      <c r="AS116" s="213"/>
      <c r="AT116" s="213"/>
      <c r="AU116" s="213"/>
      <c r="AV116" s="213"/>
      <c r="AW116" s="213"/>
      <c r="AX116" s="213"/>
      <c r="AY116" s="213"/>
      <c r="AZ116" s="213"/>
      <c r="BA116" s="213"/>
      <c r="BB116" s="213"/>
      <c r="BC116" s="213"/>
      <c r="BD116" s="213"/>
      <c r="BE116" s="213"/>
      <c r="BF116" s="213"/>
      <c r="BG116" s="213"/>
      <c r="BH116" s="213"/>
      <c r="BI116" s="213"/>
      <c r="BJ116" s="213"/>
      <c r="BK116" s="213"/>
      <c r="BL116" s="213"/>
      <c r="BM116" s="213"/>
      <c r="BN116" s="213"/>
      <c r="BO116" s="213"/>
      <c r="BP116" s="213"/>
      <c r="BQ116" s="213"/>
      <c r="BR116" s="213"/>
      <c r="BS116" s="213"/>
      <c r="BT116" s="213"/>
      <c r="BU116" s="213"/>
      <c r="BV116" s="213"/>
      <c r="BW116" s="213"/>
      <c r="BX116" s="213"/>
      <c r="BY116" s="213"/>
      <c r="BZ116" s="213"/>
      <c r="CA116" s="213"/>
      <c r="CB116" s="213"/>
      <c r="CC116" s="213"/>
      <c r="CD116" s="213"/>
      <c r="CE116" s="213"/>
      <c r="CF116" s="213"/>
      <c r="CG116" s="213"/>
      <c r="CH116" s="213"/>
      <c r="CI116" s="213"/>
      <c r="CJ116" s="213"/>
      <c r="CK116" s="213"/>
      <c r="CL116" s="213"/>
      <c r="CM116" s="213"/>
      <c r="CN116" s="213"/>
      <c r="CO116" s="213"/>
      <c r="CP116" s="213"/>
      <c r="CQ116" s="213"/>
      <c r="CR116" s="213"/>
      <c r="CS116" s="213"/>
      <c r="CT116" s="213"/>
      <c r="CU116" s="213"/>
    </row>
    <row r="117" spans="1:99">
      <c r="A117" s="213"/>
      <c r="B117" s="213"/>
      <c r="C117" s="213"/>
      <c r="D117" s="213"/>
      <c r="E117" s="213"/>
      <c r="F117" s="213"/>
      <c r="G117" s="213"/>
      <c r="H117" s="213"/>
      <c r="I117" s="213"/>
      <c r="J117" s="216"/>
      <c r="K117" s="213"/>
      <c r="L117" s="213"/>
      <c r="M117" s="213"/>
      <c r="N117" s="213"/>
      <c r="O117" s="213"/>
      <c r="P117" s="213"/>
      <c r="Q117" s="213"/>
      <c r="R117" s="213"/>
      <c r="S117" s="213"/>
      <c r="T117" s="213"/>
      <c r="U117" s="213"/>
      <c r="V117" s="213"/>
      <c r="W117" s="213"/>
      <c r="X117" s="213"/>
      <c r="Y117" s="213"/>
      <c r="Z117" s="213"/>
      <c r="AA117" s="213"/>
      <c r="AB117" s="213"/>
      <c r="AC117" s="213"/>
      <c r="AD117" s="213"/>
      <c r="AE117" s="213"/>
      <c r="AF117" s="213"/>
      <c r="AG117" s="213"/>
      <c r="AH117" s="213"/>
      <c r="AI117" s="213"/>
      <c r="AJ117" s="213"/>
      <c r="AK117" s="213"/>
      <c r="AL117" s="213"/>
      <c r="AM117" s="213"/>
      <c r="AN117" s="213"/>
      <c r="AO117" s="213"/>
      <c r="AP117" s="213"/>
      <c r="AQ117" s="213"/>
      <c r="AR117" s="213"/>
      <c r="AS117" s="213"/>
      <c r="AT117" s="213"/>
      <c r="AU117" s="213"/>
      <c r="AV117" s="213"/>
      <c r="AW117" s="213"/>
      <c r="AX117" s="213"/>
      <c r="AY117" s="213"/>
      <c r="AZ117" s="213"/>
      <c r="BA117" s="213"/>
      <c r="BB117" s="213"/>
      <c r="BC117" s="213"/>
      <c r="BD117" s="213"/>
      <c r="BE117" s="213"/>
      <c r="BF117" s="213"/>
      <c r="BG117" s="213"/>
      <c r="BH117" s="213"/>
      <c r="BI117" s="213"/>
      <c r="BJ117" s="213"/>
      <c r="BK117" s="213"/>
      <c r="BL117" s="213"/>
      <c r="BM117" s="213"/>
      <c r="BN117" s="213"/>
      <c r="BO117" s="213"/>
      <c r="BP117" s="213"/>
      <c r="BQ117" s="213"/>
      <c r="BR117" s="213"/>
      <c r="BS117" s="213"/>
      <c r="BT117" s="213"/>
      <c r="BU117" s="213"/>
      <c r="BV117" s="213"/>
      <c r="BW117" s="213"/>
      <c r="BX117" s="213"/>
      <c r="BY117" s="213"/>
      <c r="BZ117" s="213"/>
      <c r="CA117" s="213"/>
      <c r="CB117" s="213"/>
      <c r="CC117" s="213"/>
      <c r="CD117" s="213"/>
      <c r="CE117" s="213"/>
      <c r="CF117" s="213"/>
      <c r="CG117" s="213"/>
      <c r="CH117" s="213"/>
      <c r="CI117" s="213"/>
      <c r="CJ117" s="213"/>
      <c r="CK117" s="213"/>
      <c r="CL117" s="213"/>
      <c r="CM117" s="213"/>
      <c r="CN117" s="213"/>
      <c r="CO117" s="213"/>
      <c r="CP117" s="213"/>
      <c r="CQ117" s="213"/>
      <c r="CR117" s="213"/>
      <c r="CS117" s="213"/>
      <c r="CT117" s="213"/>
      <c r="CU117" s="213"/>
    </row>
    <row r="118" spans="1:99">
      <c r="A118" s="213"/>
      <c r="B118" s="213"/>
      <c r="C118" s="213"/>
      <c r="D118" s="213"/>
      <c r="E118" s="213"/>
      <c r="F118" s="213"/>
      <c r="G118" s="213"/>
      <c r="H118" s="213"/>
      <c r="I118" s="213"/>
      <c r="J118" s="216"/>
      <c r="K118" s="213"/>
      <c r="L118" s="213"/>
      <c r="M118" s="213"/>
      <c r="N118" s="213"/>
      <c r="O118" s="213"/>
      <c r="P118" s="213"/>
      <c r="Q118" s="213"/>
      <c r="R118" s="213"/>
      <c r="S118" s="213"/>
      <c r="T118" s="213"/>
      <c r="U118" s="213"/>
      <c r="V118" s="213"/>
      <c r="W118" s="213"/>
      <c r="X118" s="213"/>
      <c r="Y118" s="213"/>
      <c r="Z118" s="213"/>
      <c r="AA118" s="213"/>
      <c r="AB118" s="213"/>
      <c r="AC118" s="213"/>
      <c r="AD118" s="213"/>
      <c r="AE118" s="213"/>
      <c r="AF118" s="213"/>
      <c r="AG118" s="213"/>
      <c r="AH118" s="213"/>
      <c r="AI118" s="213"/>
      <c r="AJ118" s="213"/>
      <c r="AK118" s="213"/>
      <c r="AL118" s="213"/>
      <c r="AM118" s="213"/>
      <c r="AN118" s="213"/>
      <c r="AO118" s="213"/>
      <c r="AP118" s="213"/>
      <c r="AQ118" s="213"/>
      <c r="AR118" s="213"/>
      <c r="AS118" s="213"/>
      <c r="AT118" s="213"/>
      <c r="AU118" s="213"/>
      <c r="AV118" s="213"/>
      <c r="AW118" s="213"/>
      <c r="AX118" s="213"/>
      <c r="AY118" s="213"/>
      <c r="AZ118" s="213"/>
      <c r="BA118" s="213"/>
      <c r="BB118" s="213"/>
      <c r="BC118" s="213"/>
      <c r="BD118" s="213"/>
      <c r="BE118" s="213"/>
      <c r="BF118" s="213"/>
      <c r="BG118" s="213"/>
      <c r="BH118" s="213"/>
      <c r="BI118" s="213"/>
      <c r="BJ118" s="213"/>
      <c r="BK118" s="213"/>
      <c r="BL118" s="213"/>
      <c r="BM118" s="213"/>
      <c r="BN118" s="213"/>
      <c r="BO118" s="213"/>
      <c r="BP118" s="213"/>
      <c r="BQ118" s="213"/>
      <c r="BR118" s="213"/>
      <c r="BS118" s="213"/>
      <c r="BT118" s="213"/>
      <c r="BU118" s="213"/>
      <c r="BV118" s="213"/>
      <c r="BW118" s="213"/>
      <c r="BX118" s="213"/>
      <c r="BY118" s="213"/>
      <c r="BZ118" s="213"/>
      <c r="CA118" s="213"/>
      <c r="CB118" s="213"/>
      <c r="CC118" s="213"/>
      <c r="CD118" s="213"/>
      <c r="CE118" s="213"/>
      <c r="CF118" s="213"/>
      <c r="CG118" s="213"/>
      <c r="CH118" s="213"/>
      <c r="CI118" s="213"/>
      <c r="CJ118" s="213"/>
      <c r="CK118" s="213"/>
      <c r="CL118" s="213"/>
      <c r="CM118" s="213"/>
      <c r="CN118" s="213"/>
      <c r="CO118" s="213"/>
      <c r="CP118" s="213"/>
      <c r="CQ118" s="213"/>
      <c r="CR118" s="213"/>
      <c r="CS118" s="213"/>
      <c r="CT118" s="213"/>
      <c r="CU118" s="213"/>
    </row>
    <row r="119" spans="1:99">
      <c r="A119" s="213"/>
      <c r="B119" s="213"/>
      <c r="C119" s="213"/>
      <c r="D119" s="213"/>
      <c r="E119" s="213"/>
      <c r="F119" s="213"/>
      <c r="G119" s="213"/>
      <c r="H119" s="213"/>
      <c r="I119" s="213"/>
      <c r="J119" s="216"/>
      <c r="K119" s="213"/>
      <c r="L119" s="213"/>
      <c r="M119" s="213"/>
      <c r="N119" s="213"/>
      <c r="O119" s="213"/>
      <c r="P119" s="213"/>
      <c r="Q119" s="213"/>
      <c r="R119" s="213"/>
      <c r="S119" s="213"/>
      <c r="T119" s="213"/>
      <c r="U119" s="213"/>
      <c r="V119" s="213"/>
      <c r="W119" s="213"/>
      <c r="X119" s="213"/>
      <c r="Y119" s="213"/>
      <c r="Z119" s="213"/>
      <c r="AA119" s="213"/>
      <c r="AB119" s="213"/>
      <c r="AC119" s="213"/>
      <c r="AD119" s="213"/>
      <c r="AE119" s="213"/>
      <c r="AF119" s="213"/>
      <c r="AG119" s="213"/>
      <c r="AH119" s="213"/>
      <c r="AI119" s="213"/>
      <c r="AJ119" s="213"/>
      <c r="AK119" s="213"/>
      <c r="AL119" s="213"/>
      <c r="AM119" s="213"/>
      <c r="AN119" s="213"/>
      <c r="AO119" s="213"/>
      <c r="AP119" s="213"/>
      <c r="AQ119" s="213"/>
      <c r="AR119" s="213"/>
      <c r="AS119" s="213"/>
      <c r="AT119" s="213"/>
      <c r="AU119" s="213"/>
      <c r="AV119" s="213"/>
      <c r="AW119" s="213"/>
      <c r="AX119" s="213"/>
      <c r="AY119" s="213"/>
      <c r="AZ119" s="213"/>
      <c r="BA119" s="213"/>
      <c r="BB119" s="213"/>
      <c r="BC119" s="213"/>
      <c r="BD119" s="213"/>
      <c r="BE119" s="213"/>
      <c r="BF119" s="213"/>
      <c r="BG119" s="213"/>
      <c r="BH119" s="213"/>
      <c r="BI119" s="213"/>
      <c r="BJ119" s="213"/>
      <c r="BK119" s="213"/>
      <c r="BL119" s="213"/>
      <c r="BM119" s="213"/>
      <c r="BN119" s="213"/>
      <c r="BO119" s="213"/>
      <c r="BP119" s="213"/>
      <c r="BQ119" s="213"/>
      <c r="BR119" s="213"/>
      <c r="BS119" s="213"/>
      <c r="BT119" s="213"/>
      <c r="BU119" s="213"/>
      <c r="BV119" s="213"/>
      <c r="BW119" s="213"/>
      <c r="BX119" s="213"/>
      <c r="BY119" s="213"/>
      <c r="BZ119" s="213"/>
      <c r="CA119" s="213"/>
      <c r="CB119" s="213"/>
      <c r="CC119" s="213"/>
      <c r="CD119" s="213"/>
      <c r="CE119" s="213"/>
      <c r="CF119" s="213"/>
      <c r="CG119" s="213"/>
      <c r="CH119" s="213"/>
      <c r="CI119" s="213"/>
      <c r="CJ119" s="213"/>
      <c r="CK119" s="213"/>
      <c r="CL119" s="213"/>
      <c r="CM119" s="213"/>
      <c r="CN119" s="213"/>
      <c r="CO119" s="213"/>
      <c r="CP119" s="213"/>
      <c r="CQ119" s="213"/>
      <c r="CR119" s="213"/>
      <c r="CS119" s="213"/>
      <c r="CT119" s="213"/>
      <c r="CU119" s="213"/>
    </row>
    <row r="120" spans="1:99">
      <c r="A120" s="213"/>
      <c r="B120" s="213"/>
      <c r="C120" s="213"/>
      <c r="D120" s="213"/>
      <c r="E120" s="213"/>
      <c r="F120" s="213"/>
      <c r="G120" s="213"/>
      <c r="H120" s="213"/>
      <c r="I120" s="213"/>
      <c r="J120" s="216"/>
      <c r="K120" s="213"/>
      <c r="L120" s="213"/>
      <c r="M120" s="213"/>
      <c r="N120" s="213"/>
      <c r="O120" s="213"/>
      <c r="P120" s="213"/>
      <c r="Q120" s="213"/>
      <c r="R120" s="213"/>
      <c r="S120" s="213"/>
      <c r="T120" s="213"/>
      <c r="U120" s="213"/>
      <c r="V120" s="213"/>
      <c r="W120" s="213"/>
      <c r="X120" s="213"/>
      <c r="Y120" s="213"/>
      <c r="Z120" s="213"/>
      <c r="AA120" s="213"/>
      <c r="AB120" s="213"/>
      <c r="AC120" s="213"/>
      <c r="AD120" s="213"/>
      <c r="AE120" s="213"/>
      <c r="AF120" s="213"/>
      <c r="AG120" s="213"/>
      <c r="AH120" s="213"/>
      <c r="AI120" s="213"/>
      <c r="AJ120" s="213"/>
      <c r="AK120" s="213"/>
      <c r="AL120" s="213"/>
      <c r="AM120" s="213"/>
      <c r="AN120" s="213"/>
      <c r="AO120" s="213"/>
      <c r="AP120" s="213"/>
      <c r="AQ120" s="213"/>
      <c r="AR120" s="213"/>
      <c r="AS120" s="213"/>
      <c r="AT120" s="213"/>
      <c r="AU120" s="213"/>
      <c r="AV120" s="213"/>
      <c r="AW120" s="213"/>
      <c r="AX120" s="213"/>
      <c r="AY120" s="213"/>
      <c r="AZ120" s="213"/>
      <c r="BA120" s="213"/>
      <c r="BB120" s="213"/>
      <c r="BC120" s="213"/>
      <c r="BD120" s="213"/>
      <c r="BE120" s="213"/>
      <c r="BF120" s="213"/>
      <c r="BG120" s="213"/>
      <c r="BH120" s="213"/>
      <c r="BI120" s="213"/>
      <c r="BJ120" s="213"/>
      <c r="BK120" s="213"/>
      <c r="BL120" s="213"/>
      <c r="BM120" s="213"/>
      <c r="BN120" s="213"/>
      <c r="BO120" s="213"/>
      <c r="BP120" s="213"/>
      <c r="BQ120" s="213"/>
      <c r="BR120" s="213"/>
      <c r="BS120" s="213"/>
      <c r="BT120" s="213"/>
      <c r="BU120" s="213"/>
      <c r="BV120" s="213"/>
      <c r="BW120" s="213"/>
      <c r="BX120" s="213"/>
      <c r="BY120" s="213"/>
      <c r="BZ120" s="213"/>
      <c r="CA120" s="213"/>
      <c r="CB120" s="213"/>
      <c r="CC120" s="213"/>
      <c r="CD120" s="213"/>
      <c r="CE120" s="213"/>
      <c r="CF120" s="213"/>
      <c r="CG120" s="213"/>
      <c r="CH120" s="213"/>
      <c r="CI120" s="213"/>
      <c r="CJ120" s="213"/>
      <c r="CK120" s="213"/>
      <c r="CL120" s="213"/>
      <c r="CM120" s="213"/>
      <c r="CN120" s="213"/>
      <c r="CO120" s="213"/>
      <c r="CP120" s="213"/>
      <c r="CQ120" s="213"/>
      <c r="CR120" s="213"/>
      <c r="CS120" s="213"/>
      <c r="CT120" s="213"/>
      <c r="CU120" s="213"/>
    </row>
    <row r="121" spans="1:99">
      <c r="A121" s="213"/>
      <c r="B121" s="213"/>
      <c r="C121" s="213"/>
      <c r="D121" s="213"/>
      <c r="E121" s="213"/>
      <c r="F121" s="213"/>
      <c r="G121" s="213"/>
      <c r="H121" s="213"/>
      <c r="I121" s="213"/>
      <c r="J121" s="216"/>
      <c r="K121" s="213"/>
      <c r="L121" s="213"/>
      <c r="M121" s="213"/>
      <c r="N121" s="213"/>
      <c r="O121" s="213"/>
      <c r="P121" s="213"/>
      <c r="Q121" s="213"/>
      <c r="R121" s="213"/>
      <c r="S121" s="213"/>
      <c r="T121" s="213"/>
      <c r="U121" s="213"/>
      <c r="V121" s="213"/>
      <c r="W121" s="213"/>
      <c r="X121" s="213"/>
      <c r="Y121" s="213"/>
      <c r="Z121" s="213"/>
      <c r="AA121" s="213"/>
      <c r="AB121" s="213"/>
      <c r="AC121" s="213"/>
      <c r="AD121" s="213"/>
      <c r="AE121" s="213"/>
      <c r="AF121" s="213"/>
      <c r="AG121" s="213"/>
      <c r="AH121" s="213"/>
      <c r="AI121" s="213"/>
      <c r="AJ121" s="213"/>
      <c r="AK121" s="213"/>
      <c r="AL121" s="213"/>
      <c r="AM121" s="213"/>
      <c r="AN121" s="213"/>
      <c r="AO121" s="213"/>
      <c r="AP121" s="213"/>
      <c r="AQ121" s="213"/>
      <c r="AR121" s="213"/>
      <c r="AS121" s="213"/>
      <c r="AT121" s="213"/>
      <c r="AU121" s="213"/>
      <c r="AV121" s="213"/>
      <c r="AW121" s="213"/>
      <c r="AX121" s="213"/>
      <c r="AY121" s="213"/>
      <c r="AZ121" s="213"/>
      <c r="BA121" s="213"/>
      <c r="BB121" s="213"/>
      <c r="BC121" s="213"/>
      <c r="BD121" s="213"/>
      <c r="BE121" s="213"/>
      <c r="BF121" s="213"/>
      <c r="BG121" s="213"/>
      <c r="BH121" s="213"/>
      <c r="BI121" s="213"/>
      <c r="BJ121" s="213"/>
      <c r="BK121" s="213"/>
      <c r="BL121" s="213"/>
      <c r="BM121" s="213"/>
      <c r="BN121" s="213"/>
      <c r="BO121" s="213"/>
      <c r="BP121" s="213"/>
      <c r="BQ121" s="213"/>
      <c r="BR121" s="213"/>
      <c r="BS121" s="213"/>
      <c r="BT121" s="213"/>
      <c r="BU121" s="213"/>
      <c r="BV121" s="213"/>
      <c r="BW121" s="213"/>
      <c r="BX121" s="213"/>
      <c r="BY121" s="213"/>
      <c r="BZ121" s="213"/>
      <c r="CA121" s="213"/>
      <c r="CB121" s="213"/>
      <c r="CC121" s="213"/>
      <c r="CD121" s="213"/>
      <c r="CE121" s="213"/>
      <c r="CF121" s="213"/>
      <c r="CG121" s="213"/>
      <c r="CH121" s="213"/>
      <c r="CI121" s="213"/>
      <c r="CJ121" s="213"/>
      <c r="CK121" s="213"/>
      <c r="CL121" s="213"/>
      <c r="CM121" s="213"/>
      <c r="CN121" s="213"/>
      <c r="CO121" s="213"/>
      <c r="CP121" s="213"/>
      <c r="CQ121" s="213"/>
      <c r="CR121" s="213"/>
      <c r="CS121" s="213"/>
      <c r="CT121" s="213"/>
      <c r="CU121" s="213"/>
    </row>
    <row r="122" spans="1:99">
      <c r="A122" s="213"/>
      <c r="B122" s="213"/>
      <c r="C122" s="213"/>
      <c r="D122" s="213"/>
      <c r="E122" s="213"/>
      <c r="F122" s="213"/>
      <c r="G122" s="213"/>
      <c r="H122" s="213"/>
      <c r="I122" s="213"/>
      <c r="J122" s="216"/>
      <c r="K122" s="213"/>
      <c r="L122" s="213"/>
      <c r="M122" s="213"/>
      <c r="N122" s="213"/>
      <c r="O122" s="213"/>
      <c r="P122" s="213"/>
      <c r="Q122" s="213"/>
      <c r="R122" s="213"/>
      <c r="S122" s="213"/>
      <c r="T122" s="213"/>
      <c r="U122" s="213"/>
      <c r="V122" s="213"/>
      <c r="W122" s="213"/>
      <c r="X122" s="213"/>
      <c r="Y122" s="213"/>
      <c r="Z122" s="213"/>
      <c r="AA122" s="213"/>
      <c r="AB122" s="213"/>
      <c r="AC122" s="213"/>
      <c r="AD122" s="213"/>
      <c r="AE122" s="213"/>
      <c r="AF122" s="213"/>
      <c r="AG122" s="213"/>
      <c r="AH122" s="213"/>
      <c r="AI122" s="213"/>
      <c r="AJ122" s="213"/>
      <c r="AK122" s="213"/>
      <c r="AL122" s="213"/>
      <c r="AM122" s="213"/>
      <c r="AN122" s="213"/>
      <c r="AO122" s="213"/>
      <c r="AP122" s="213"/>
      <c r="AQ122" s="213"/>
      <c r="AR122" s="213"/>
      <c r="AS122" s="213"/>
      <c r="AT122" s="213"/>
      <c r="AU122" s="213"/>
      <c r="AV122" s="213"/>
      <c r="AW122" s="213"/>
      <c r="AX122" s="213"/>
      <c r="AY122" s="213"/>
      <c r="AZ122" s="213"/>
      <c r="BA122" s="213"/>
      <c r="BB122" s="213"/>
      <c r="BC122" s="213"/>
      <c r="BD122" s="213"/>
      <c r="BE122" s="213"/>
      <c r="BF122" s="213"/>
      <c r="BG122" s="213"/>
      <c r="BH122" s="213"/>
      <c r="BI122" s="213"/>
      <c r="BJ122" s="213"/>
      <c r="BK122" s="213"/>
      <c r="BL122" s="213"/>
      <c r="BM122" s="213"/>
      <c r="BN122" s="213"/>
      <c r="BO122" s="213"/>
      <c r="BP122" s="213"/>
      <c r="BQ122" s="213"/>
      <c r="BR122" s="213"/>
      <c r="BS122" s="213"/>
      <c r="BT122" s="213"/>
      <c r="BU122" s="213"/>
      <c r="BV122" s="213"/>
      <c r="BW122" s="213"/>
      <c r="BX122" s="213"/>
      <c r="BY122" s="213"/>
      <c r="BZ122" s="213"/>
      <c r="CA122" s="213"/>
      <c r="CB122" s="213"/>
      <c r="CC122" s="213"/>
      <c r="CD122" s="213"/>
      <c r="CE122" s="213"/>
      <c r="CF122" s="213"/>
      <c r="CG122" s="213"/>
      <c r="CH122" s="213"/>
      <c r="CI122" s="213"/>
      <c r="CJ122" s="213"/>
      <c r="CK122" s="213"/>
      <c r="CL122" s="213"/>
      <c r="CM122" s="213"/>
      <c r="CN122" s="213"/>
      <c r="CO122" s="213"/>
      <c r="CP122" s="213"/>
      <c r="CQ122" s="213"/>
      <c r="CR122" s="213"/>
      <c r="CS122" s="213"/>
      <c r="CT122" s="213"/>
      <c r="CU122" s="213"/>
    </row>
    <row r="123" spans="1:99">
      <c r="A123" s="213"/>
      <c r="B123" s="213"/>
      <c r="C123" s="213"/>
      <c r="D123" s="213"/>
      <c r="E123" s="213"/>
      <c r="F123" s="213"/>
      <c r="G123" s="213"/>
      <c r="H123" s="213"/>
      <c r="I123" s="213"/>
      <c r="J123" s="216"/>
      <c r="K123" s="213"/>
      <c r="L123" s="213"/>
      <c r="M123" s="213"/>
      <c r="N123" s="213"/>
      <c r="O123" s="213"/>
      <c r="P123" s="213"/>
      <c r="Q123" s="213"/>
      <c r="R123" s="213"/>
      <c r="S123" s="213"/>
      <c r="T123" s="213"/>
      <c r="U123" s="213"/>
      <c r="V123" s="213"/>
      <c r="W123" s="213"/>
      <c r="X123" s="213"/>
      <c r="Y123" s="213"/>
      <c r="Z123" s="213"/>
      <c r="AA123" s="213"/>
      <c r="AB123" s="213"/>
      <c r="AC123" s="213"/>
      <c r="AD123" s="213"/>
      <c r="AE123" s="213"/>
      <c r="AF123" s="213"/>
      <c r="AG123" s="213"/>
      <c r="AH123" s="213"/>
      <c r="AI123" s="213"/>
      <c r="AJ123" s="213"/>
      <c r="AK123" s="213"/>
      <c r="AL123" s="213"/>
      <c r="AM123" s="213"/>
      <c r="AN123" s="213"/>
      <c r="AO123" s="213"/>
      <c r="AP123" s="213"/>
      <c r="AQ123" s="213"/>
      <c r="AR123" s="213"/>
      <c r="AS123" s="213"/>
      <c r="AT123" s="213"/>
      <c r="AU123" s="213"/>
      <c r="AV123" s="213"/>
      <c r="AW123" s="213"/>
      <c r="AX123" s="213"/>
      <c r="AY123" s="213"/>
      <c r="AZ123" s="213"/>
      <c r="BA123" s="213"/>
      <c r="BB123" s="213"/>
      <c r="BC123" s="213"/>
      <c r="BD123" s="213"/>
      <c r="BE123" s="213"/>
      <c r="BF123" s="213"/>
      <c r="BG123" s="213"/>
      <c r="BH123" s="213"/>
      <c r="BI123" s="213"/>
      <c r="BJ123" s="213"/>
      <c r="BK123" s="213"/>
      <c r="BL123" s="213"/>
      <c r="BM123" s="213"/>
      <c r="BN123" s="213"/>
      <c r="BO123" s="213"/>
      <c r="BP123" s="213"/>
      <c r="BQ123" s="213"/>
      <c r="BR123" s="213"/>
      <c r="BS123" s="213"/>
      <c r="BT123" s="213"/>
      <c r="BU123" s="213"/>
      <c r="BV123" s="213"/>
      <c r="BW123" s="213"/>
      <c r="BX123" s="213"/>
      <c r="BY123" s="213"/>
      <c r="BZ123" s="213"/>
      <c r="CA123" s="213"/>
      <c r="CB123" s="213"/>
      <c r="CC123" s="213"/>
      <c r="CD123" s="213"/>
      <c r="CE123" s="213"/>
      <c r="CF123" s="213"/>
      <c r="CG123" s="213"/>
      <c r="CH123" s="213"/>
      <c r="CI123" s="213"/>
      <c r="CJ123" s="213"/>
      <c r="CK123" s="213"/>
      <c r="CL123" s="213"/>
      <c r="CM123" s="213"/>
      <c r="CN123" s="213"/>
      <c r="CO123" s="213"/>
      <c r="CP123" s="213"/>
      <c r="CQ123" s="213"/>
      <c r="CR123" s="213"/>
      <c r="CS123" s="213"/>
      <c r="CT123" s="213"/>
      <c r="CU123" s="213"/>
    </row>
    <row r="124" spans="1:99">
      <c r="A124" s="213"/>
      <c r="B124" s="213"/>
      <c r="C124" s="213"/>
      <c r="D124" s="213"/>
      <c r="E124" s="213"/>
      <c r="F124" s="213"/>
      <c r="G124" s="213"/>
      <c r="H124" s="213"/>
      <c r="I124" s="213"/>
      <c r="J124" s="216"/>
      <c r="K124" s="213"/>
      <c r="L124" s="213"/>
      <c r="M124" s="213"/>
      <c r="N124" s="213"/>
      <c r="O124" s="213"/>
      <c r="P124" s="213"/>
      <c r="Q124" s="213"/>
      <c r="R124" s="213"/>
      <c r="S124" s="213"/>
      <c r="T124" s="213"/>
      <c r="U124" s="213"/>
      <c r="V124" s="213"/>
      <c r="W124" s="213"/>
      <c r="X124" s="213"/>
      <c r="Y124" s="213"/>
      <c r="Z124" s="213"/>
      <c r="AA124" s="213"/>
      <c r="AB124" s="213"/>
      <c r="AC124" s="213"/>
      <c r="AD124" s="213"/>
      <c r="AE124" s="213"/>
      <c r="AF124" s="213"/>
      <c r="AG124" s="213"/>
      <c r="AH124" s="213"/>
      <c r="AI124" s="213"/>
      <c r="AJ124" s="213"/>
      <c r="AK124" s="213"/>
      <c r="AL124" s="213"/>
      <c r="AM124" s="213"/>
      <c r="AN124" s="213"/>
      <c r="AO124" s="213"/>
      <c r="AP124" s="213"/>
      <c r="AQ124" s="213"/>
      <c r="AR124" s="213"/>
      <c r="AS124" s="213"/>
      <c r="AT124" s="213"/>
      <c r="AU124" s="213"/>
      <c r="AV124" s="213"/>
      <c r="AW124" s="213"/>
      <c r="AX124" s="213"/>
      <c r="AY124" s="213"/>
      <c r="AZ124" s="213"/>
      <c r="BA124" s="213"/>
      <c r="BB124" s="213"/>
      <c r="BC124" s="213"/>
      <c r="BD124" s="213"/>
      <c r="BE124" s="213"/>
      <c r="BF124" s="213"/>
      <c r="BG124" s="213"/>
      <c r="BH124" s="213"/>
      <c r="BI124" s="213"/>
      <c r="BJ124" s="213"/>
      <c r="BK124" s="213"/>
      <c r="BL124" s="213"/>
      <c r="BM124" s="213"/>
      <c r="BN124" s="213"/>
      <c r="BO124" s="213"/>
      <c r="BP124" s="213"/>
      <c r="BQ124" s="213"/>
      <c r="BR124" s="213"/>
      <c r="BS124" s="213"/>
      <c r="BT124" s="213"/>
      <c r="BU124" s="213"/>
      <c r="BV124" s="213"/>
      <c r="BW124" s="213"/>
      <c r="BX124" s="213"/>
      <c r="BY124" s="213"/>
      <c r="BZ124" s="213"/>
      <c r="CA124" s="213"/>
      <c r="CB124" s="213"/>
      <c r="CC124" s="213"/>
      <c r="CD124" s="213"/>
      <c r="CE124" s="213"/>
      <c r="CF124" s="213"/>
      <c r="CG124" s="213"/>
      <c r="CH124" s="213"/>
      <c r="CI124" s="213"/>
      <c r="CJ124" s="213"/>
      <c r="CK124" s="213"/>
      <c r="CL124" s="213"/>
      <c r="CM124" s="213"/>
      <c r="CN124" s="213"/>
      <c r="CO124" s="213"/>
      <c r="CP124" s="213"/>
      <c r="CQ124" s="213"/>
      <c r="CR124" s="213"/>
      <c r="CS124" s="213"/>
      <c r="CT124" s="213"/>
      <c r="CU124" s="213"/>
    </row>
    <row r="125" spans="1:99">
      <c r="A125" s="213"/>
      <c r="B125" s="213"/>
      <c r="C125" s="213"/>
      <c r="D125" s="213"/>
      <c r="E125" s="213"/>
      <c r="F125" s="213"/>
      <c r="G125" s="213"/>
      <c r="H125" s="213"/>
      <c r="I125" s="213"/>
      <c r="J125" s="216"/>
      <c r="K125" s="213"/>
      <c r="L125" s="213"/>
      <c r="M125" s="213"/>
      <c r="N125" s="213"/>
      <c r="O125" s="213"/>
      <c r="P125" s="213"/>
      <c r="Q125" s="213"/>
      <c r="R125" s="213"/>
      <c r="S125" s="213"/>
      <c r="T125" s="213"/>
      <c r="U125" s="213"/>
      <c r="V125" s="213"/>
      <c r="W125" s="213"/>
      <c r="X125" s="213"/>
      <c r="Y125" s="213"/>
      <c r="Z125" s="213"/>
      <c r="AA125" s="213"/>
      <c r="AB125" s="213"/>
      <c r="AC125" s="213"/>
      <c r="AD125" s="213"/>
      <c r="AE125" s="213"/>
      <c r="AF125" s="213"/>
      <c r="AG125" s="213"/>
      <c r="AH125" s="213"/>
      <c r="AI125" s="213"/>
      <c r="AJ125" s="213"/>
      <c r="AK125" s="213"/>
      <c r="AL125" s="213"/>
      <c r="AM125" s="213"/>
      <c r="AN125" s="213"/>
      <c r="AO125" s="213"/>
      <c r="AP125" s="213"/>
      <c r="AQ125" s="213"/>
      <c r="AR125" s="213"/>
      <c r="AS125" s="213"/>
      <c r="AT125" s="213"/>
      <c r="AU125" s="213"/>
      <c r="AV125" s="213"/>
      <c r="AW125" s="213"/>
      <c r="AX125" s="213"/>
      <c r="AY125" s="213"/>
      <c r="AZ125" s="213"/>
      <c r="BA125" s="213"/>
      <c r="BB125" s="213"/>
      <c r="BC125" s="213"/>
      <c r="BD125" s="213"/>
      <c r="BE125" s="213"/>
      <c r="BF125" s="213"/>
      <c r="BG125" s="213"/>
      <c r="BH125" s="213"/>
      <c r="BI125" s="213"/>
      <c r="BJ125" s="213"/>
      <c r="BK125" s="213"/>
      <c r="BL125" s="213"/>
      <c r="BM125" s="213"/>
      <c r="BN125" s="213"/>
      <c r="BO125" s="213"/>
      <c r="BP125" s="213"/>
      <c r="BQ125" s="213"/>
      <c r="BR125" s="213"/>
      <c r="BS125" s="213"/>
      <c r="BT125" s="213"/>
      <c r="BU125" s="213"/>
      <c r="BV125" s="213"/>
      <c r="BW125" s="213"/>
      <c r="BX125" s="213"/>
      <c r="BY125" s="213"/>
      <c r="BZ125" s="213"/>
      <c r="CA125" s="213"/>
      <c r="CB125" s="213"/>
      <c r="CC125" s="213"/>
      <c r="CD125" s="213"/>
      <c r="CE125" s="213"/>
      <c r="CF125" s="213"/>
      <c r="CG125" s="213"/>
      <c r="CH125" s="213"/>
      <c r="CI125" s="213"/>
      <c r="CJ125" s="213"/>
      <c r="CK125" s="213"/>
      <c r="CL125" s="213"/>
      <c r="CM125" s="213"/>
      <c r="CN125" s="213"/>
      <c r="CO125" s="213"/>
      <c r="CP125" s="213"/>
      <c r="CQ125" s="213"/>
      <c r="CR125" s="213"/>
      <c r="CS125" s="213"/>
      <c r="CT125" s="213"/>
      <c r="CU125" s="213"/>
    </row>
    <row r="126" spans="1:99">
      <c r="A126" s="213"/>
      <c r="B126" s="213"/>
      <c r="C126" s="213"/>
      <c r="D126" s="213"/>
      <c r="E126" s="213"/>
      <c r="F126" s="213"/>
      <c r="G126" s="213"/>
      <c r="H126" s="213"/>
      <c r="I126" s="213"/>
      <c r="J126" s="216"/>
      <c r="K126" s="213"/>
      <c r="L126" s="213"/>
      <c r="M126" s="213"/>
      <c r="N126" s="213"/>
      <c r="O126" s="213"/>
      <c r="P126" s="213"/>
      <c r="Q126" s="213"/>
      <c r="R126" s="213"/>
      <c r="S126" s="213"/>
      <c r="T126" s="213"/>
      <c r="U126" s="213"/>
      <c r="V126" s="213"/>
      <c r="W126" s="213"/>
      <c r="X126" s="213"/>
      <c r="Y126" s="213"/>
      <c r="Z126" s="213"/>
      <c r="AA126" s="213"/>
      <c r="AB126" s="213"/>
      <c r="AC126" s="213"/>
      <c r="AD126" s="213"/>
      <c r="AE126" s="213"/>
      <c r="AF126" s="213"/>
      <c r="AG126" s="213"/>
      <c r="AH126" s="213"/>
      <c r="AI126" s="213"/>
      <c r="AJ126" s="213"/>
      <c r="AK126" s="213"/>
      <c r="AL126" s="213"/>
      <c r="AM126" s="213"/>
      <c r="AN126" s="213"/>
      <c r="AO126" s="213"/>
      <c r="AP126" s="213"/>
      <c r="AQ126" s="213"/>
      <c r="AR126" s="213"/>
      <c r="AS126" s="213"/>
      <c r="AT126" s="213"/>
      <c r="AU126" s="213"/>
      <c r="AV126" s="213"/>
      <c r="AW126" s="213"/>
      <c r="AX126" s="213"/>
      <c r="AY126" s="213"/>
      <c r="AZ126" s="213"/>
      <c r="BA126" s="213"/>
      <c r="BB126" s="213"/>
      <c r="BC126" s="213"/>
      <c r="BD126" s="213"/>
      <c r="BE126" s="213"/>
      <c r="BF126" s="213"/>
      <c r="BG126" s="213"/>
      <c r="BH126" s="213"/>
      <c r="BI126" s="213"/>
      <c r="BJ126" s="213"/>
      <c r="BK126" s="213"/>
      <c r="BL126" s="213"/>
      <c r="BM126" s="213"/>
      <c r="BN126" s="213"/>
      <c r="BO126" s="213"/>
      <c r="BP126" s="213"/>
      <c r="BQ126" s="213"/>
      <c r="BR126" s="213"/>
      <c r="BS126" s="213"/>
      <c r="BT126" s="213"/>
      <c r="BU126" s="213"/>
      <c r="BV126" s="213"/>
      <c r="BW126" s="213"/>
      <c r="BX126" s="213"/>
      <c r="BY126" s="213"/>
      <c r="BZ126" s="213"/>
      <c r="CA126" s="213"/>
      <c r="CB126" s="213"/>
      <c r="CC126" s="213"/>
      <c r="CD126" s="213"/>
      <c r="CE126" s="213"/>
      <c r="CF126" s="213"/>
      <c r="CG126" s="213"/>
      <c r="CH126" s="213"/>
      <c r="CI126" s="213"/>
      <c r="CJ126" s="213"/>
      <c r="CK126" s="213"/>
      <c r="CL126" s="213"/>
      <c r="CM126" s="213"/>
      <c r="CN126" s="213"/>
      <c r="CO126" s="213"/>
      <c r="CP126" s="213"/>
      <c r="CQ126" s="213"/>
      <c r="CR126" s="213"/>
      <c r="CS126" s="213"/>
      <c r="CT126" s="213"/>
      <c r="CU126" s="213"/>
    </row>
    <row r="127" spans="1:99">
      <c r="A127" s="213"/>
      <c r="B127" s="213"/>
      <c r="C127" s="213"/>
      <c r="D127" s="213"/>
      <c r="E127" s="213"/>
      <c r="F127" s="213"/>
      <c r="G127" s="213"/>
      <c r="H127" s="213"/>
      <c r="I127" s="213"/>
      <c r="J127" s="216"/>
      <c r="K127" s="213"/>
      <c r="L127" s="213"/>
      <c r="M127" s="213"/>
      <c r="N127" s="213"/>
      <c r="O127" s="213"/>
      <c r="P127" s="213"/>
      <c r="Q127" s="213"/>
      <c r="R127" s="213"/>
      <c r="S127" s="213"/>
      <c r="T127" s="213"/>
      <c r="U127" s="213"/>
      <c r="V127" s="213"/>
      <c r="W127" s="213"/>
      <c r="X127" s="213"/>
      <c r="Y127" s="213"/>
      <c r="Z127" s="213"/>
      <c r="AA127" s="213"/>
      <c r="AB127" s="213"/>
      <c r="AC127" s="213"/>
      <c r="AD127" s="213"/>
      <c r="AE127" s="213"/>
      <c r="AF127" s="213"/>
      <c r="AG127" s="213"/>
      <c r="AH127" s="213"/>
      <c r="AI127" s="213"/>
      <c r="AJ127" s="213"/>
      <c r="AK127" s="213"/>
      <c r="AL127" s="213"/>
      <c r="AM127" s="213"/>
      <c r="AN127" s="213"/>
      <c r="AO127" s="213"/>
      <c r="AP127" s="213"/>
      <c r="AQ127" s="213"/>
      <c r="AR127" s="213"/>
      <c r="AS127" s="213"/>
      <c r="AT127" s="213"/>
      <c r="AU127" s="213"/>
      <c r="AV127" s="213"/>
      <c r="AW127" s="213"/>
      <c r="AX127" s="213"/>
      <c r="AY127" s="213"/>
      <c r="AZ127" s="213"/>
      <c r="BA127" s="213"/>
      <c r="BB127" s="213"/>
      <c r="BC127" s="213"/>
      <c r="BD127" s="213"/>
      <c r="BE127" s="213"/>
      <c r="BF127" s="213"/>
      <c r="BG127" s="213"/>
      <c r="BH127" s="213"/>
      <c r="BI127" s="213"/>
      <c r="BJ127" s="213"/>
      <c r="BK127" s="213"/>
      <c r="BL127" s="213"/>
      <c r="BM127" s="213"/>
      <c r="BN127" s="213"/>
      <c r="BO127" s="213"/>
      <c r="BP127" s="213"/>
      <c r="BQ127" s="213"/>
      <c r="BR127" s="213"/>
      <c r="BS127" s="213"/>
      <c r="BT127" s="213"/>
      <c r="BU127" s="213"/>
      <c r="BV127" s="213"/>
      <c r="BW127" s="213"/>
      <c r="BX127" s="213"/>
      <c r="BY127" s="213"/>
      <c r="BZ127" s="213"/>
      <c r="CA127" s="213"/>
      <c r="CB127" s="213"/>
      <c r="CC127" s="213"/>
      <c r="CD127" s="213"/>
      <c r="CE127" s="213"/>
      <c r="CF127" s="213"/>
      <c r="CG127" s="213"/>
      <c r="CH127" s="213"/>
      <c r="CI127" s="213"/>
      <c r="CJ127" s="213"/>
      <c r="CK127" s="213"/>
      <c r="CL127" s="213"/>
      <c r="CM127" s="213"/>
      <c r="CN127" s="213"/>
      <c r="CO127" s="213"/>
      <c r="CP127" s="213"/>
      <c r="CQ127" s="213"/>
      <c r="CR127" s="213"/>
      <c r="CS127" s="213"/>
      <c r="CT127" s="213"/>
      <c r="CU127" s="213"/>
    </row>
    <row r="128" spans="1:99">
      <c r="A128" s="213"/>
      <c r="B128" s="213"/>
      <c r="C128" s="213"/>
      <c r="D128" s="213"/>
      <c r="E128" s="213"/>
      <c r="F128" s="213"/>
      <c r="G128" s="213"/>
      <c r="H128" s="213"/>
      <c r="I128" s="213"/>
      <c r="J128" s="216"/>
      <c r="K128" s="213"/>
      <c r="L128" s="213"/>
      <c r="M128" s="213"/>
      <c r="N128" s="213"/>
      <c r="O128" s="213"/>
      <c r="P128" s="213"/>
      <c r="Q128" s="213"/>
      <c r="R128" s="213"/>
      <c r="S128" s="213"/>
      <c r="T128" s="213"/>
      <c r="U128" s="213"/>
      <c r="V128" s="213"/>
      <c r="W128" s="213"/>
      <c r="X128" s="213"/>
      <c r="Y128" s="213"/>
      <c r="Z128" s="213"/>
      <c r="AA128" s="213"/>
      <c r="AB128" s="213"/>
      <c r="AC128" s="213"/>
      <c r="AD128" s="213"/>
      <c r="AE128" s="213"/>
      <c r="AF128" s="213"/>
      <c r="AG128" s="213"/>
      <c r="AH128" s="213"/>
      <c r="AI128" s="213"/>
      <c r="AJ128" s="213"/>
      <c r="AK128" s="213"/>
      <c r="AL128" s="213"/>
      <c r="AM128" s="213"/>
      <c r="AN128" s="213"/>
      <c r="AO128" s="213"/>
      <c r="AP128" s="213"/>
      <c r="AQ128" s="213"/>
      <c r="AR128" s="213"/>
      <c r="AS128" s="213"/>
      <c r="AT128" s="213"/>
      <c r="AU128" s="213"/>
      <c r="AV128" s="213"/>
      <c r="AW128" s="213"/>
      <c r="AX128" s="213"/>
      <c r="AY128" s="213"/>
      <c r="AZ128" s="213"/>
      <c r="BA128" s="213"/>
      <c r="BB128" s="213"/>
      <c r="BC128" s="213"/>
      <c r="BD128" s="213"/>
      <c r="BE128" s="213"/>
      <c r="BF128" s="213"/>
      <c r="BG128" s="213"/>
      <c r="BH128" s="213"/>
      <c r="BI128" s="213"/>
      <c r="BJ128" s="213"/>
      <c r="BK128" s="213"/>
      <c r="BL128" s="213"/>
      <c r="BM128" s="213"/>
      <c r="BN128" s="213"/>
      <c r="BO128" s="213"/>
      <c r="BP128" s="213"/>
      <c r="BQ128" s="213"/>
      <c r="BR128" s="213"/>
      <c r="BS128" s="213"/>
      <c r="BT128" s="213"/>
      <c r="BU128" s="213"/>
      <c r="BV128" s="213"/>
      <c r="BW128" s="213"/>
      <c r="BX128" s="213"/>
      <c r="BY128" s="213"/>
      <c r="BZ128" s="213"/>
      <c r="CA128" s="213"/>
      <c r="CB128" s="213"/>
      <c r="CC128" s="213"/>
      <c r="CD128" s="213"/>
      <c r="CE128" s="213"/>
      <c r="CF128" s="213"/>
      <c r="CG128" s="213"/>
      <c r="CH128" s="213"/>
      <c r="CI128" s="213"/>
      <c r="CJ128" s="213"/>
      <c r="CK128" s="213"/>
      <c r="CL128" s="213"/>
      <c r="CM128" s="213"/>
      <c r="CN128" s="213"/>
      <c r="CO128" s="213"/>
      <c r="CP128" s="213"/>
      <c r="CQ128" s="213"/>
      <c r="CR128" s="213"/>
      <c r="CS128" s="213"/>
      <c r="CT128" s="213"/>
      <c r="CU128" s="213"/>
    </row>
    <row r="129" spans="1:99">
      <c r="A129" s="213"/>
      <c r="B129" s="213"/>
      <c r="C129" s="213"/>
      <c r="D129" s="213"/>
      <c r="E129" s="213"/>
      <c r="F129" s="213"/>
      <c r="G129" s="213"/>
      <c r="H129" s="213"/>
      <c r="I129" s="213"/>
      <c r="J129" s="216"/>
      <c r="K129" s="213"/>
      <c r="L129" s="213"/>
      <c r="M129" s="213"/>
      <c r="N129" s="213"/>
      <c r="O129" s="213"/>
      <c r="P129" s="213"/>
      <c r="Q129" s="213"/>
      <c r="R129" s="213"/>
      <c r="S129" s="213"/>
      <c r="T129" s="213"/>
      <c r="U129" s="213"/>
      <c r="V129" s="213"/>
      <c r="W129" s="213"/>
      <c r="X129" s="213"/>
      <c r="Y129" s="213"/>
      <c r="Z129" s="213"/>
      <c r="AA129" s="213"/>
      <c r="AB129" s="213"/>
      <c r="AC129" s="213"/>
      <c r="AD129" s="213"/>
      <c r="AE129" s="213"/>
      <c r="AF129" s="213"/>
      <c r="AG129" s="213"/>
      <c r="AH129" s="213"/>
      <c r="AI129" s="213"/>
      <c r="AJ129" s="213"/>
      <c r="AK129" s="213"/>
      <c r="AL129" s="213"/>
      <c r="AM129" s="213"/>
      <c r="AN129" s="213"/>
      <c r="AO129" s="213"/>
      <c r="AP129" s="213"/>
      <c r="AQ129" s="213"/>
      <c r="AR129" s="213"/>
      <c r="AS129" s="213"/>
      <c r="AT129" s="213"/>
      <c r="AU129" s="213"/>
      <c r="AV129" s="213"/>
      <c r="AW129" s="213"/>
      <c r="AX129" s="213"/>
      <c r="AY129" s="213"/>
      <c r="AZ129" s="213"/>
      <c r="BA129" s="213"/>
      <c r="BB129" s="213"/>
      <c r="BC129" s="213"/>
      <c r="BD129" s="213"/>
      <c r="BE129" s="213"/>
      <c r="BF129" s="213"/>
      <c r="BG129" s="213"/>
      <c r="BH129" s="213"/>
      <c r="BI129" s="213"/>
      <c r="BJ129" s="213"/>
      <c r="BK129" s="213"/>
      <c r="BL129" s="213"/>
      <c r="BM129" s="213"/>
      <c r="BN129" s="213"/>
      <c r="BO129" s="213"/>
      <c r="BP129" s="213"/>
      <c r="BQ129" s="213"/>
      <c r="BR129" s="213"/>
      <c r="BS129" s="213"/>
      <c r="BT129" s="213"/>
      <c r="BU129" s="213"/>
      <c r="BV129" s="213"/>
      <c r="BW129" s="213"/>
      <c r="BX129" s="213"/>
      <c r="BY129" s="213"/>
      <c r="BZ129" s="213"/>
      <c r="CA129" s="213"/>
      <c r="CB129" s="213"/>
      <c r="CC129" s="213"/>
      <c r="CD129" s="213"/>
      <c r="CE129" s="213"/>
      <c r="CF129" s="213"/>
      <c r="CG129" s="213"/>
      <c r="CH129" s="213"/>
      <c r="CI129" s="213"/>
      <c r="CJ129" s="213"/>
      <c r="CK129" s="213"/>
      <c r="CL129" s="213"/>
      <c r="CM129" s="213"/>
      <c r="CN129" s="213"/>
      <c r="CO129" s="213"/>
      <c r="CP129" s="213"/>
      <c r="CQ129" s="213"/>
      <c r="CR129" s="213"/>
      <c r="CS129" s="213"/>
      <c r="CT129" s="213"/>
      <c r="CU129" s="213"/>
    </row>
    <row r="130" spans="1:99">
      <c r="A130" s="213"/>
      <c r="B130" s="213"/>
      <c r="C130" s="213"/>
      <c r="D130" s="213"/>
      <c r="E130" s="213"/>
      <c r="F130" s="213"/>
      <c r="G130" s="213"/>
      <c r="H130" s="213"/>
      <c r="I130" s="213"/>
      <c r="J130" s="216"/>
      <c r="K130" s="213"/>
      <c r="L130" s="213"/>
      <c r="M130" s="213"/>
      <c r="N130" s="213"/>
      <c r="O130" s="213"/>
      <c r="P130" s="213"/>
      <c r="Q130" s="213"/>
      <c r="R130" s="213"/>
      <c r="S130" s="213"/>
      <c r="T130" s="213"/>
      <c r="U130" s="213"/>
      <c r="V130" s="213"/>
      <c r="W130" s="213"/>
      <c r="X130" s="213"/>
      <c r="Y130" s="213"/>
      <c r="Z130" s="213"/>
      <c r="AA130" s="213"/>
      <c r="AB130" s="213"/>
      <c r="AC130" s="213"/>
      <c r="AD130" s="213"/>
      <c r="AE130" s="213"/>
      <c r="AF130" s="213"/>
      <c r="AG130" s="213"/>
      <c r="AH130" s="213"/>
      <c r="AI130" s="213"/>
      <c r="AJ130" s="213"/>
      <c r="AK130" s="213"/>
      <c r="AL130" s="213"/>
      <c r="AM130" s="213"/>
      <c r="AN130" s="213"/>
      <c r="AO130" s="213"/>
      <c r="AP130" s="213"/>
      <c r="AQ130" s="213"/>
      <c r="AR130" s="213"/>
      <c r="AS130" s="213"/>
      <c r="AT130" s="213"/>
      <c r="AU130" s="213"/>
      <c r="AV130" s="213"/>
      <c r="AW130" s="213"/>
      <c r="AX130" s="213"/>
      <c r="AY130" s="213"/>
      <c r="AZ130" s="213"/>
      <c r="BA130" s="213"/>
      <c r="BB130" s="213"/>
      <c r="BC130" s="213"/>
      <c r="BD130" s="213"/>
      <c r="BE130" s="213"/>
      <c r="BF130" s="213"/>
      <c r="BG130" s="213"/>
      <c r="BH130" s="213"/>
      <c r="BI130" s="213"/>
      <c r="BJ130" s="213"/>
      <c r="BK130" s="213"/>
      <c r="BL130" s="213"/>
      <c r="BM130" s="213"/>
      <c r="BN130" s="213"/>
      <c r="BO130" s="213"/>
      <c r="BP130" s="213"/>
      <c r="BQ130" s="213"/>
      <c r="BR130" s="213"/>
      <c r="BS130" s="213"/>
      <c r="BT130" s="213"/>
      <c r="BU130" s="213"/>
      <c r="BV130" s="213"/>
      <c r="BW130" s="213"/>
      <c r="BX130" s="213"/>
      <c r="BY130" s="213"/>
      <c r="BZ130" s="213"/>
      <c r="CA130" s="213"/>
      <c r="CB130" s="213"/>
      <c r="CC130" s="213"/>
      <c r="CD130" s="213"/>
      <c r="CE130" s="213"/>
      <c r="CF130" s="213"/>
      <c r="CG130" s="213"/>
      <c r="CH130" s="213"/>
      <c r="CI130" s="213"/>
      <c r="CJ130" s="213"/>
      <c r="CK130" s="213"/>
      <c r="CL130" s="213"/>
      <c r="CM130" s="213"/>
      <c r="CN130" s="213"/>
      <c r="CO130" s="213"/>
      <c r="CP130" s="213"/>
      <c r="CQ130" s="213"/>
      <c r="CR130" s="213"/>
      <c r="CS130" s="213"/>
      <c r="CT130" s="213"/>
      <c r="CU130" s="213"/>
    </row>
    <row r="131" spans="1:99">
      <c r="A131" s="213"/>
      <c r="B131" s="213"/>
      <c r="C131" s="213"/>
      <c r="D131" s="213"/>
      <c r="E131" s="213"/>
      <c r="F131" s="213"/>
      <c r="G131" s="213"/>
      <c r="H131" s="213"/>
      <c r="I131" s="213"/>
      <c r="J131" s="216"/>
      <c r="K131" s="213"/>
      <c r="L131" s="213"/>
      <c r="M131" s="213"/>
      <c r="N131" s="213"/>
      <c r="O131" s="213"/>
      <c r="P131" s="213"/>
      <c r="Q131" s="213"/>
      <c r="R131" s="213"/>
      <c r="S131" s="213"/>
      <c r="T131" s="213"/>
      <c r="U131" s="213"/>
      <c r="V131" s="213"/>
      <c r="W131" s="213"/>
      <c r="X131" s="213"/>
      <c r="Y131" s="213"/>
      <c r="Z131" s="213"/>
      <c r="AA131" s="213"/>
      <c r="AB131" s="213"/>
      <c r="AC131" s="213"/>
      <c r="AD131" s="213"/>
      <c r="AE131" s="213"/>
      <c r="AF131" s="213"/>
      <c r="AG131" s="213"/>
      <c r="AH131" s="213"/>
      <c r="AI131" s="213"/>
      <c r="AJ131" s="213"/>
      <c r="AK131" s="213"/>
      <c r="AL131" s="213"/>
      <c r="AM131" s="213"/>
      <c r="AN131" s="213"/>
      <c r="AO131" s="213"/>
      <c r="AP131" s="213"/>
      <c r="AQ131" s="213"/>
      <c r="AR131" s="213"/>
      <c r="AS131" s="213"/>
      <c r="AT131" s="213"/>
      <c r="AU131" s="213"/>
      <c r="AV131" s="213"/>
      <c r="AW131" s="213"/>
      <c r="AX131" s="213"/>
      <c r="AY131" s="213"/>
      <c r="AZ131" s="213"/>
      <c r="BA131" s="213"/>
      <c r="BB131" s="213"/>
      <c r="BC131" s="213"/>
      <c r="BD131" s="213"/>
      <c r="BE131" s="213"/>
      <c r="BF131" s="213"/>
      <c r="BG131" s="213"/>
      <c r="BH131" s="213"/>
      <c r="BI131" s="213"/>
      <c r="BJ131" s="213"/>
      <c r="BK131" s="213"/>
      <c r="BL131" s="213"/>
      <c r="BM131" s="213"/>
      <c r="BN131" s="213"/>
      <c r="BO131" s="213"/>
      <c r="BP131" s="213"/>
      <c r="BQ131" s="213"/>
      <c r="BR131" s="213"/>
      <c r="BS131" s="213"/>
      <c r="BT131" s="213"/>
      <c r="BU131" s="213"/>
      <c r="BV131" s="213"/>
      <c r="BW131" s="213"/>
      <c r="BX131" s="213"/>
      <c r="BY131" s="213"/>
      <c r="BZ131" s="213"/>
      <c r="CA131" s="213"/>
      <c r="CB131" s="213"/>
      <c r="CC131" s="213"/>
      <c r="CD131" s="213"/>
      <c r="CE131" s="213"/>
      <c r="CF131" s="213"/>
      <c r="CG131" s="213"/>
      <c r="CH131" s="213"/>
      <c r="CI131" s="213"/>
      <c r="CJ131" s="213"/>
      <c r="CK131" s="213"/>
      <c r="CL131" s="213"/>
      <c r="CM131" s="213"/>
      <c r="CN131" s="213"/>
      <c r="CO131" s="213"/>
      <c r="CP131" s="213"/>
      <c r="CQ131" s="213"/>
      <c r="CR131" s="213"/>
      <c r="CS131" s="213"/>
      <c r="CT131" s="213"/>
      <c r="CU131" s="213"/>
    </row>
    <row r="132" spans="1:99">
      <c r="A132" s="213"/>
      <c r="B132" s="213"/>
      <c r="C132" s="213"/>
      <c r="D132" s="213"/>
      <c r="E132" s="213"/>
      <c r="F132" s="213"/>
      <c r="G132" s="213"/>
      <c r="H132" s="213"/>
      <c r="I132" s="213"/>
      <c r="J132" s="216"/>
      <c r="K132" s="213"/>
      <c r="L132" s="213"/>
      <c r="M132" s="213"/>
      <c r="N132" s="213"/>
      <c r="O132" s="213"/>
      <c r="P132" s="213"/>
      <c r="Q132" s="213"/>
      <c r="R132" s="213"/>
      <c r="S132" s="213"/>
      <c r="T132" s="213"/>
      <c r="U132" s="213"/>
      <c r="V132" s="213"/>
      <c r="W132" s="213"/>
      <c r="X132" s="213"/>
      <c r="Y132" s="213"/>
      <c r="Z132" s="213"/>
      <c r="AA132" s="213"/>
      <c r="AB132" s="213"/>
      <c r="AC132" s="213"/>
      <c r="AD132" s="213"/>
      <c r="AE132" s="213"/>
      <c r="AF132" s="213"/>
      <c r="AG132" s="213"/>
      <c r="AH132" s="213"/>
      <c r="AI132" s="213"/>
      <c r="AJ132" s="213"/>
      <c r="AK132" s="213"/>
      <c r="AL132" s="213"/>
      <c r="AM132" s="213"/>
      <c r="AN132" s="213"/>
      <c r="AO132" s="213"/>
      <c r="AP132" s="213"/>
      <c r="AQ132" s="213"/>
      <c r="AR132" s="213"/>
      <c r="AS132" s="213"/>
      <c r="AT132" s="213"/>
      <c r="AU132" s="213"/>
      <c r="AV132" s="213"/>
      <c r="AW132" s="213"/>
      <c r="AX132" s="213"/>
      <c r="AY132" s="213"/>
      <c r="AZ132" s="213"/>
      <c r="BA132" s="213"/>
      <c r="BB132" s="213"/>
      <c r="BC132" s="213"/>
      <c r="BD132" s="213"/>
      <c r="BE132" s="213"/>
      <c r="BF132" s="213"/>
      <c r="BG132" s="213"/>
      <c r="BH132" s="213"/>
      <c r="BI132" s="213"/>
      <c r="BJ132" s="213"/>
      <c r="BK132" s="213"/>
      <c r="BL132" s="213"/>
      <c r="BM132" s="213"/>
      <c r="BN132" s="213"/>
      <c r="BO132" s="213"/>
      <c r="BP132" s="213"/>
      <c r="BQ132" s="213"/>
      <c r="BR132" s="213"/>
      <c r="BS132" s="213"/>
      <c r="BT132" s="213"/>
      <c r="BU132" s="213"/>
      <c r="BV132" s="213"/>
      <c r="BW132" s="213"/>
      <c r="BX132" s="213"/>
      <c r="BY132" s="213"/>
      <c r="BZ132" s="213"/>
      <c r="CA132" s="213"/>
      <c r="CB132" s="213"/>
      <c r="CC132" s="213"/>
      <c r="CD132" s="213"/>
      <c r="CE132" s="213"/>
      <c r="CF132" s="213"/>
      <c r="CG132" s="213"/>
      <c r="CH132" s="213"/>
      <c r="CI132" s="213"/>
      <c r="CJ132" s="213"/>
      <c r="CK132" s="213"/>
      <c r="CL132" s="213"/>
      <c r="CM132" s="213"/>
      <c r="CN132" s="213"/>
      <c r="CO132" s="213"/>
      <c r="CP132" s="213"/>
      <c r="CQ132" s="213"/>
      <c r="CR132" s="213"/>
      <c r="CS132" s="213"/>
      <c r="CT132" s="213"/>
      <c r="CU132" s="213"/>
    </row>
    <row r="133" spans="1:99">
      <c r="A133" s="213"/>
      <c r="B133" s="213"/>
      <c r="C133" s="213"/>
      <c r="D133" s="213"/>
      <c r="E133" s="213"/>
      <c r="F133" s="213"/>
      <c r="G133" s="213"/>
      <c r="H133" s="213"/>
      <c r="I133" s="213"/>
      <c r="J133" s="216"/>
      <c r="K133" s="213"/>
      <c r="L133" s="213"/>
      <c r="M133" s="213"/>
      <c r="N133" s="213"/>
      <c r="O133" s="213"/>
      <c r="P133" s="213"/>
      <c r="Q133" s="213"/>
      <c r="R133" s="213"/>
      <c r="S133" s="213"/>
      <c r="T133" s="213"/>
      <c r="U133" s="213"/>
      <c r="V133" s="213"/>
      <c r="W133" s="213"/>
      <c r="X133" s="213"/>
      <c r="Y133" s="213"/>
      <c r="Z133" s="213"/>
      <c r="AA133" s="213"/>
      <c r="AB133" s="213"/>
      <c r="AC133" s="213"/>
      <c r="AD133" s="213"/>
      <c r="AE133" s="213"/>
      <c r="AF133" s="213"/>
      <c r="AG133" s="213"/>
      <c r="AH133" s="213"/>
      <c r="AI133" s="213"/>
      <c r="AJ133" s="213"/>
      <c r="AK133" s="213"/>
      <c r="AL133" s="213"/>
      <c r="AM133" s="213"/>
      <c r="AN133" s="213"/>
      <c r="AO133" s="213"/>
      <c r="AP133" s="213"/>
      <c r="AQ133" s="213"/>
      <c r="AR133" s="213"/>
      <c r="AS133" s="213"/>
      <c r="AT133" s="213"/>
      <c r="AU133" s="213"/>
      <c r="AV133" s="213"/>
      <c r="AW133" s="213"/>
      <c r="AX133" s="213"/>
      <c r="AY133" s="213"/>
      <c r="AZ133" s="213"/>
      <c r="BA133" s="213"/>
      <c r="BB133" s="213"/>
      <c r="BC133" s="213"/>
      <c r="BD133" s="213"/>
      <c r="BE133" s="213"/>
      <c r="BF133" s="213"/>
      <c r="BG133" s="213"/>
      <c r="BH133" s="213"/>
      <c r="BI133" s="213"/>
      <c r="BJ133" s="213"/>
      <c r="BK133" s="213"/>
      <c r="BL133" s="213"/>
      <c r="BM133" s="213"/>
      <c r="BN133" s="213"/>
      <c r="BO133" s="213"/>
      <c r="BP133" s="213"/>
      <c r="BQ133" s="213"/>
      <c r="BR133" s="213"/>
      <c r="BS133" s="213"/>
      <c r="BT133" s="213"/>
      <c r="BU133" s="213"/>
      <c r="BV133" s="213"/>
      <c r="BW133" s="213"/>
      <c r="BX133" s="213"/>
      <c r="BY133" s="213"/>
      <c r="BZ133" s="213"/>
      <c r="CA133" s="213"/>
      <c r="CB133" s="213"/>
      <c r="CC133" s="213"/>
      <c r="CD133" s="213"/>
      <c r="CE133" s="213"/>
      <c r="CF133" s="213"/>
      <c r="CG133" s="213"/>
      <c r="CH133" s="213"/>
      <c r="CI133" s="213"/>
      <c r="CJ133" s="213"/>
      <c r="CK133" s="213"/>
      <c r="CL133" s="213"/>
      <c r="CM133" s="213"/>
      <c r="CN133" s="213"/>
      <c r="CO133" s="213"/>
      <c r="CP133" s="213"/>
      <c r="CQ133" s="213"/>
      <c r="CR133" s="213"/>
      <c r="CS133" s="213"/>
      <c r="CT133" s="213"/>
      <c r="CU133" s="213"/>
    </row>
    <row r="134" spans="1:99">
      <c r="A134" s="213"/>
      <c r="B134" s="213"/>
      <c r="C134" s="213"/>
      <c r="D134" s="213"/>
      <c r="E134" s="213"/>
      <c r="F134" s="213"/>
      <c r="G134" s="213"/>
      <c r="H134" s="213"/>
      <c r="I134" s="213"/>
      <c r="J134" s="216"/>
      <c r="K134" s="213"/>
      <c r="L134" s="213"/>
      <c r="M134" s="213"/>
      <c r="N134" s="213"/>
      <c r="O134" s="213"/>
      <c r="P134" s="213"/>
      <c r="Q134" s="213"/>
      <c r="R134" s="213"/>
      <c r="S134" s="213"/>
      <c r="T134" s="213"/>
      <c r="U134" s="213"/>
      <c r="V134" s="213"/>
      <c r="W134" s="213"/>
      <c r="X134" s="213"/>
      <c r="Y134" s="213"/>
      <c r="Z134" s="213"/>
      <c r="AA134" s="213"/>
      <c r="AB134" s="213"/>
      <c r="AC134" s="213"/>
      <c r="AD134" s="213"/>
      <c r="AE134" s="213"/>
      <c r="AF134" s="213"/>
      <c r="AG134" s="213"/>
      <c r="AH134" s="213"/>
      <c r="AI134" s="213"/>
      <c r="AJ134" s="213"/>
      <c r="AK134" s="213"/>
      <c r="AL134" s="213"/>
      <c r="AM134" s="213"/>
      <c r="AN134" s="213"/>
      <c r="AO134" s="213"/>
      <c r="AP134" s="213"/>
      <c r="AQ134" s="213"/>
      <c r="AR134" s="213"/>
      <c r="AS134" s="213"/>
      <c r="AT134" s="213"/>
      <c r="AU134" s="213"/>
      <c r="AV134" s="213"/>
      <c r="AW134" s="213"/>
      <c r="AX134" s="213"/>
      <c r="AY134" s="213"/>
      <c r="AZ134" s="213"/>
      <c r="BA134" s="213"/>
      <c r="BB134" s="213"/>
      <c r="BC134" s="213"/>
      <c r="BD134" s="213"/>
      <c r="BE134" s="213"/>
      <c r="BF134" s="213"/>
      <c r="BG134" s="213"/>
      <c r="BH134" s="213"/>
      <c r="BI134" s="213"/>
      <c r="BJ134" s="213"/>
      <c r="BK134" s="213"/>
      <c r="BL134" s="213"/>
      <c r="BM134" s="213"/>
      <c r="BN134" s="213"/>
      <c r="BO134" s="213"/>
      <c r="BP134" s="213"/>
      <c r="BQ134" s="213"/>
      <c r="BR134" s="213"/>
      <c r="BS134" s="213"/>
      <c r="BT134" s="213"/>
      <c r="BU134" s="213"/>
      <c r="BV134" s="213"/>
      <c r="BW134" s="213"/>
      <c r="BX134" s="213"/>
      <c r="BY134" s="213"/>
      <c r="BZ134" s="213"/>
      <c r="CA134" s="213"/>
      <c r="CB134" s="213"/>
      <c r="CC134" s="213"/>
      <c r="CD134" s="213"/>
      <c r="CE134" s="213"/>
      <c r="CF134" s="213"/>
      <c r="CG134" s="213"/>
      <c r="CH134" s="213"/>
      <c r="CI134" s="213"/>
      <c r="CJ134" s="213"/>
      <c r="CK134" s="213"/>
      <c r="CL134" s="213"/>
      <c r="CM134" s="213"/>
      <c r="CN134" s="213"/>
      <c r="CO134" s="213"/>
      <c r="CP134" s="213"/>
      <c r="CQ134" s="213"/>
      <c r="CR134" s="213"/>
      <c r="CS134" s="213"/>
      <c r="CT134" s="213"/>
      <c r="CU134" s="213"/>
    </row>
    <row r="135" spans="1:99">
      <c r="A135" s="213"/>
      <c r="B135" s="213"/>
      <c r="C135" s="213"/>
      <c r="D135" s="213"/>
      <c r="E135" s="213"/>
      <c r="F135" s="213"/>
      <c r="G135" s="213"/>
      <c r="H135" s="213"/>
      <c r="I135" s="213"/>
      <c r="J135" s="216"/>
      <c r="K135" s="213"/>
      <c r="L135" s="213"/>
      <c r="M135" s="213"/>
      <c r="N135" s="213"/>
      <c r="O135" s="213"/>
      <c r="P135" s="213"/>
      <c r="Q135" s="213"/>
      <c r="R135" s="213"/>
      <c r="S135" s="213"/>
      <c r="T135" s="213"/>
      <c r="U135" s="213"/>
      <c r="V135" s="213"/>
      <c r="W135" s="213"/>
      <c r="X135" s="213"/>
      <c r="Y135" s="213"/>
      <c r="Z135" s="213"/>
      <c r="AA135" s="213"/>
      <c r="AB135" s="213"/>
      <c r="AC135" s="213"/>
      <c r="AD135" s="213"/>
      <c r="AE135" s="213"/>
      <c r="AF135" s="213"/>
      <c r="AG135" s="213"/>
      <c r="AH135" s="213"/>
      <c r="AI135" s="213"/>
      <c r="AJ135" s="213"/>
      <c r="AK135" s="213"/>
      <c r="AL135" s="213"/>
      <c r="AM135" s="213"/>
      <c r="AN135" s="213"/>
      <c r="AO135" s="213"/>
      <c r="AP135" s="213"/>
      <c r="AQ135" s="213"/>
      <c r="AR135" s="213"/>
      <c r="AS135" s="213"/>
      <c r="AT135" s="213"/>
      <c r="AU135" s="213"/>
      <c r="AV135" s="213"/>
      <c r="AW135" s="213"/>
      <c r="AX135" s="213"/>
      <c r="AY135" s="213"/>
      <c r="AZ135" s="213"/>
      <c r="BA135" s="213"/>
      <c r="BB135" s="213"/>
      <c r="BC135" s="213"/>
      <c r="BD135" s="213"/>
      <c r="BE135" s="213"/>
      <c r="BF135" s="213"/>
      <c r="BG135" s="213"/>
      <c r="BH135" s="213"/>
      <c r="BI135" s="213"/>
      <c r="BJ135" s="213"/>
      <c r="BK135" s="213"/>
      <c r="BL135" s="213"/>
      <c r="BM135" s="213"/>
      <c r="BN135" s="213"/>
      <c r="BO135" s="213"/>
      <c r="BP135" s="213"/>
      <c r="BQ135" s="213"/>
      <c r="BR135" s="213"/>
      <c r="BS135" s="213"/>
      <c r="BT135" s="213"/>
      <c r="BU135" s="213"/>
      <c r="BV135" s="213"/>
      <c r="BW135" s="213"/>
      <c r="BX135" s="213"/>
      <c r="BY135" s="213"/>
      <c r="BZ135" s="213"/>
      <c r="CA135" s="213"/>
      <c r="CB135" s="213"/>
      <c r="CC135" s="213"/>
      <c r="CD135" s="213"/>
      <c r="CE135" s="213"/>
      <c r="CF135" s="213"/>
      <c r="CG135" s="213"/>
      <c r="CH135" s="213"/>
      <c r="CI135" s="213"/>
      <c r="CJ135" s="213"/>
      <c r="CK135" s="213"/>
      <c r="CL135" s="213"/>
      <c r="CM135" s="213"/>
      <c r="CN135" s="213"/>
      <c r="CO135" s="213"/>
      <c r="CP135" s="213"/>
      <c r="CQ135" s="213"/>
      <c r="CR135" s="213"/>
      <c r="CS135" s="213"/>
      <c r="CT135" s="213"/>
      <c r="CU135" s="213"/>
    </row>
    <row r="136" spans="1:99">
      <c r="A136" s="213"/>
      <c r="B136" s="213"/>
      <c r="C136" s="213"/>
      <c r="D136" s="213"/>
      <c r="E136" s="213"/>
      <c r="F136" s="213"/>
      <c r="G136" s="213"/>
      <c r="H136" s="213"/>
      <c r="I136" s="213"/>
      <c r="J136" s="216"/>
      <c r="K136" s="213"/>
      <c r="L136" s="213"/>
      <c r="M136" s="213"/>
      <c r="N136" s="213"/>
      <c r="O136" s="213"/>
      <c r="P136" s="213"/>
      <c r="Q136" s="213"/>
      <c r="R136" s="213"/>
      <c r="S136" s="213"/>
      <c r="T136" s="213"/>
      <c r="U136" s="213"/>
      <c r="V136" s="213"/>
      <c r="W136" s="213"/>
      <c r="X136" s="213"/>
      <c r="Y136" s="213"/>
      <c r="Z136" s="213"/>
      <c r="AA136" s="213"/>
      <c r="AB136" s="213"/>
      <c r="AC136" s="213"/>
      <c r="AD136" s="213"/>
      <c r="AE136" s="213"/>
      <c r="AF136" s="213"/>
      <c r="AG136" s="213"/>
      <c r="AH136" s="213"/>
      <c r="AI136" s="213"/>
      <c r="AJ136" s="213"/>
      <c r="AK136" s="213"/>
      <c r="AL136" s="213"/>
      <c r="AM136" s="213"/>
      <c r="AN136" s="213"/>
      <c r="AO136" s="213"/>
      <c r="AP136" s="213"/>
      <c r="AQ136" s="213"/>
      <c r="AR136" s="213"/>
      <c r="AS136" s="213"/>
      <c r="AT136" s="213"/>
      <c r="AU136" s="213"/>
      <c r="AV136" s="213"/>
      <c r="AW136" s="213"/>
      <c r="AX136" s="213"/>
      <c r="AY136" s="213"/>
      <c r="AZ136" s="213"/>
      <c r="BA136" s="213"/>
      <c r="BB136" s="213"/>
      <c r="BC136" s="213"/>
      <c r="BD136" s="213"/>
      <c r="BE136" s="213"/>
      <c r="BF136" s="213"/>
      <c r="BG136" s="213"/>
      <c r="BH136" s="213"/>
      <c r="BI136" s="213"/>
      <c r="BJ136" s="213"/>
      <c r="BK136" s="213"/>
      <c r="BL136" s="213"/>
      <c r="BM136" s="213"/>
      <c r="BN136" s="213"/>
      <c r="BO136" s="213"/>
      <c r="BP136" s="213"/>
      <c r="BQ136" s="213"/>
      <c r="BR136" s="213"/>
      <c r="BS136" s="213"/>
      <c r="BT136" s="213"/>
      <c r="BU136" s="213"/>
      <c r="BV136" s="213"/>
      <c r="BW136" s="213"/>
      <c r="BX136" s="213"/>
      <c r="BY136" s="213"/>
      <c r="BZ136" s="213"/>
      <c r="CA136" s="213"/>
      <c r="CB136" s="213"/>
      <c r="CC136" s="213"/>
      <c r="CD136" s="213"/>
      <c r="CE136" s="213"/>
      <c r="CF136" s="213"/>
      <c r="CG136" s="213"/>
      <c r="CH136" s="213"/>
      <c r="CI136" s="213"/>
      <c r="CJ136" s="213"/>
      <c r="CK136" s="213"/>
      <c r="CL136" s="213"/>
      <c r="CM136" s="213"/>
      <c r="CN136" s="213"/>
      <c r="CO136" s="213"/>
      <c r="CP136" s="213"/>
      <c r="CQ136" s="213"/>
      <c r="CR136" s="213"/>
      <c r="CS136" s="213"/>
      <c r="CT136" s="213"/>
      <c r="CU136" s="213"/>
    </row>
    <row r="137" spans="1:99">
      <c r="A137" s="213"/>
      <c r="B137" s="213"/>
      <c r="C137" s="213"/>
      <c r="D137" s="213"/>
      <c r="E137" s="213"/>
      <c r="F137" s="213"/>
      <c r="G137" s="213"/>
      <c r="H137" s="213"/>
      <c r="I137" s="213"/>
      <c r="J137" s="216"/>
      <c r="K137" s="213"/>
      <c r="L137" s="213"/>
      <c r="M137" s="213"/>
      <c r="N137" s="213"/>
      <c r="O137" s="213"/>
      <c r="P137" s="213"/>
      <c r="Q137" s="213"/>
      <c r="R137" s="213"/>
      <c r="S137" s="213"/>
      <c r="T137" s="213"/>
      <c r="U137" s="213"/>
      <c r="V137" s="213"/>
      <c r="W137" s="213"/>
      <c r="X137" s="213"/>
      <c r="Y137" s="213"/>
      <c r="Z137" s="213"/>
      <c r="AA137" s="213"/>
      <c r="AB137" s="213"/>
      <c r="AC137" s="213"/>
      <c r="AD137" s="213"/>
      <c r="AE137" s="213"/>
      <c r="AF137" s="213"/>
      <c r="AG137" s="213"/>
      <c r="AH137" s="213"/>
      <c r="AI137" s="213"/>
      <c r="AJ137" s="213"/>
      <c r="AK137" s="213"/>
      <c r="AL137" s="213"/>
      <c r="AM137" s="213"/>
      <c r="AN137" s="213"/>
      <c r="AO137" s="213"/>
      <c r="AP137" s="213"/>
      <c r="AQ137" s="213"/>
      <c r="AR137" s="213"/>
      <c r="AS137" s="213"/>
      <c r="AT137" s="213"/>
      <c r="AU137" s="213"/>
      <c r="AV137" s="213"/>
      <c r="AW137" s="213"/>
      <c r="AX137" s="213"/>
      <c r="AY137" s="213"/>
      <c r="AZ137" s="213"/>
      <c r="BA137" s="213"/>
      <c r="BB137" s="213"/>
      <c r="BC137" s="213"/>
      <c r="BD137" s="213"/>
      <c r="BE137" s="213"/>
      <c r="BF137" s="213"/>
      <c r="BG137" s="213"/>
      <c r="BH137" s="213"/>
      <c r="BI137" s="213"/>
      <c r="BJ137" s="213"/>
      <c r="BK137" s="213"/>
      <c r="BL137" s="213"/>
      <c r="BM137" s="213"/>
      <c r="BN137" s="213"/>
      <c r="BO137" s="213"/>
      <c r="BP137" s="213"/>
      <c r="BQ137" s="213"/>
      <c r="BR137" s="213"/>
      <c r="BS137" s="213"/>
      <c r="BT137" s="213"/>
      <c r="BU137" s="213"/>
      <c r="BV137" s="213"/>
      <c r="BW137" s="213"/>
      <c r="BX137" s="213"/>
      <c r="BY137" s="213"/>
      <c r="BZ137" s="213"/>
      <c r="CA137" s="213"/>
      <c r="CB137" s="213"/>
      <c r="CC137" s="213"/>
      <c r="CD137" s="213"/>
      <c r="CE137" s="213"/>
      <c r="CF137" s="213"/>
      <c r="CG137" s="213"/>
      <c r="CH137" s="213"/>
      <c r="CI137" s="213"/>
      <c r="CJ137" s="213"/>
      <c r="CK137" s="213"/>
      <c r="CL137" s="213"/>
      <c r="CM137" s="213"/>
      <c r="CN137" s="213"/>
      <c r="CO137" s="213"/>
      <c r="CP137" s="213"/>
      <c r="CQ137" s="213"/>
      <c r="CR137" s="213"/>
      <c r="CS137" s="213"/>
      <c r="CT137" s="213"/>
      <c r="CU137" s="213"/>
    </row>
    <row r="138" spans="1:99">
      <c r="A138" s="213"/>
      <c r="B138" s="213"/>
      <c r="C138" s="213"/>
      <c r="D138" s="213"/>
      <c r="E138" s="213"/>
      <c r="F138" s="213"/>
      <c r="G138" s="213"/>
      <c r="H138" s="213"/>
      <c r="I138" s="213"/>
      <c r="J138" s="216"/>
      <c r="K138" s="213"/>
      <c r="L138" s="213"/>
      <c r="M138" s="213"/>
      <c r="N138" s="213"/>
      <c r="O138" s="213"/>
      <c r="P138" s="213"/>
      <c r="Q138" s="213"/>
      <c r="R138" s="213"/>
      <c r="S138" s="213"/>
      <c r="T138" s="213"/>
      <c r="U138" s="213"/>
      <c r="V138" s="213"/>
      <c r="W138" s="213"/>
      <c r="X138" s="213"/>
      <c r="Y138" s="213"/>
      <c r="Z138" s="213"/>
      <c r="AA138" s="213"/>
      <c r="AB138" s="213"/>
      <c r="AC138" s="213"/>
      <c r="AD138" s="213"/>
      <c r="AE138" s="213"/>
      <c r="AF138" s="213"/>
      <c r="AG138" s="213"/>
      <c r="AH138" s="213"/>
      <c r="AI138" s="213"/>
      <c r="AJ138" s="213"/>
      <c r="AK138" s="213"/>
      <c r="AL138" s="213"/>
      <c r="AM138" s="213"/>
      <c r="AN138" s="213"/>
      <c r="AO138" s="213"/>
      <c r="AP138" s="213"/>
      <c r="AQ138" s="213"/>
      <c r="AR138" s="213"/>
      <c r="AS138" s="213"/>
      <c r="AT138" s="213"/>
      <c r="AU138" s="213"/>
      <c r="AV138" s="213"/>
      <c r="AW138" s="213"/>
      <c r="AX138" s="213"/>
      <c r="AY138" s="213"/>
      <c r="AZ138" s="213"/>
      <c r="BA138" s="213"/>
      <c r="BB138" s="213"/>
      <c r="BC138" s="213"/>
      <c r="BD138" s="213"/>
      <c r="BE138" s="213"/>
      <c r="BF138" s="213"/>
      <c r="BG138" s="213"/>
      <c r="BH138" s="213"/>
      <c r="BI138" s="213"/>
      <c r="BJ138" s="213"/>
      <c r="BK138" s="213"/>
      <c r="BL138" s="213"/>
      <c r="BM138" s="213"/>
      <c r="BN138" s="213"/>
      <c r="BO138" s="213"/>
      <c r="BP138" s="213"/>
      <c r="BQ138" s="213"/>
      <c r="BR138" s="213"/>
      <c r="BS138" s="213"/>
      <c r="BT138" s="213"/>
      <c r="BU138" s="213"/>
      <c r="BV138" s="213"/>
      <c r="BW138" s="213"/>
      <c r="BX138" s="213"/>
      <c r="BY138" s="213"/>
      <c r="BZ138" s="213"/>
      <c r="CA138" s="213"/>
      <c r="CB138" s="213"/>
      <c r="CC138" s="213"/>
      <c r="CD138" s="213"/>
      <c r="CE138" s="213"/>
      <c r="CF138" s="213"/>
      <c r="CG138" s="213"/>
      <c r="CH138" s="213"/>
      <c r="CI138" s="213"/>
      <c r="CJ138" s="213"/>
      <c r="CK138" s="213"/>
      <c r="CL138" s="213"/>
      <c r="CM138" s="213"/>
      <c r="CN138" s="213"/>
      <c r="CO138" s="213"/>
      <c r="CP138" s="213"/>
      <c r="CQ138" s="213"/>
      <c r="CR138" s="213"/>
      <c r="CS138" s="213"/>
      <c r="CT138" s="213"/>
      <c r="CU138" s="213"/>
    </row>
  </sheetData>
  <pageMargins left="0.7" right="0.7" top="0.75" bottom="0.75" header="0.3" footer="0.3"/>
  <pageSetup orientation="portrait" horizontalDpi="90" verticalDpi="90"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3:AV39"/>
  <sheetViews>
    <sheetView topLeftCell="C1" zoomScale="70" zoomScaleNormal="70" workbookViewId="0">
      <selection activeCell="AU8" sqref="AU8"/>
    </sheetView>
  </sheetViews>
  <sheetFormatPr defaultRowHeight="14.4"/>
  <cols>
    <col min="1" max="1" width="22.33203125" bestFit="1" customWidth="1"/>
    <col min="2" max="2" width="16.77734375" bestFit="1" customWidth="1"/>
    <col min="3" max="3" width="24.21875" bestFit="1" customWidth="1"/>
    <col min="4" max="4" width="16.88671875" bestFit="1" customWidth="1"/>
    <col min="5" max="5" width="28.6640625" bestFit="1" customWidth="1"/>
    <col min="6" max="6" width="18.88671875" bestFit="1" customWidth="1"/>
    <col min="7" max="7" width="7.77734375" bestFit="1" customWidth="1"/>
    <col min="8" max="8" width="7" bestFit="1" customWidth="1"/>
    <col min="9" max="10" width="11.109375" bestFit="1" customWidth="1"/>
    <col min="11" max="11" width="32.88671875" customWidth="1"/>
    <col min="12" max="12" width="32.88671875" bestFit="1" customWidth="1"/>
    <col min="13" max="13" width="32.88671875" customWidth="1"/>
    <col min="14" max="14" width="15" bestFit="1" customWidth="1"/>
    <col min="15" max="15" width="16.77734375" bestFit="1" customWidth="1"/>
    <col min="16" max="16" width="12.33203125" bestFit="1" customWidth="1"/>
    <col min="17" max="17" width="5.21875" bestFit="1" customWidth="1"/>
    <col min="18" max="18" width="26.33203125" bestFit="1" customWidth="1"/>
    <col min="19" max="19" width="23.88671875" bestFit="1" customWidth="1"/>
    <col min="20" max="20" width="22" bestFit="1" customWidth="1"/>
    <col min="21" max="21" width="14.21875" bestFit="1" customWidth="1"/>
    <col min="22" max="22" width="12.6640625" bestFit="1" customWidth="1"/>
    <col min="23" max="23" width="21.6640625" bestFit="1" customWidth="1"/>
    <col min="24" max="24" width="12" bestFit="1" customWidth="1"/>
    <col min="25" max="25" width="21.5546875" bestFit="1" customWidth="1"/>
    <col min="26" max="26" width="7" bestFit="1" customWidth="1"/>
    <col min="27" max="27" width="11.109375" bestFit="1" customWidth="1"/>
    <col min="33" max="33" width="28.5546875" bestFit="1" customWidth="1"/>
    <col min="34" max="34" width="15.33203125" bestFit="1" customWidth="1"/>
    <col min="36" max="36" width="26.44140625" bestFit="1" customWidth="1"/>
    <col min="37" max="37" width="19.77734375" bestFit="1" customWidth="1"/>
    <col min="38" max="38" width="14.5546875" customWidth="1"/>
    <col min="39" max="39" width="5.77734375" customWidth="1"/>
    <col min="40" max="40" width="29.44140625" bestFit="1" customWidth="1"/>
    <col min="41" max="41" width="26.44140625" bestFit="1" customWidth="1"/>
    <col min="42" max="42" width="23" customWidth="1"/>
    <col min="43" max="43" width="17.44140625" customWidth="1"/>
    <col min="44" max="44" width="14.88671875" customWidth="1"/>
    <col min="45" max="45" width="24.6640625" customWidth="1"/>
    <col min="46" max="46" width="14.44140625" customWidth="1"/>
    <col min="47" max="47" width="89.109375" bestFit="1" customWidth="1"/>
    <col min="48" max="48" width="38.6640625" bestFit="1" customWidth="1"/>
    <col min="49" max="49" width="13.109375" bestFit="1" customWidth="1"/>
  </cols>
  <sheetData>
    <row r="3" spans="1:48">
      <c r="A3" s="154" t="s">
        <v>355</v>
      </c>
      <c r="B3" s="154" t="s">
        <v>356</v>
      </c>
    </row>
    <row r="4" spans="1:48">
      <c r="A4" s="154" t="s">
        <v>249</v>
      </c>
      <c r="B4" t="s">
        <v>4</v>
      </c>
      <c r="C4" t="s">
        <v>5</v>
      </c>
      <c r="D4" t="s">
        <v>6</v>
      </c>
      <c r="E4" t="s">
        <v>140</v>
      </c>
      <c r="F4" t="s">
        <v>113</v>
      </c>
      <c r="G4" t="s">
        <v>34</v>
      </c>
      <c r="H4" t="s">
        <v>717</v>
      </c>
      <c r="I4" t="s">
        <v>12</v>
      </c>
    </row>
    <row r="5" spans="1:48">
      <c r="A5" s="155" t="s">
        <v>715</v>
      </c>
      <c r="B5" s="331"/>
      <c r="C5" s="331"/>
      <c r="D5" s="331"/>
      <c r="E5" s="331"/>
      <c r="F5" s="331"/>
      <c r="G5" s="331">
        <v>2</v>
      </c>
      <c r="H5" s="331"/>
      <c r="I5" s="331">
        <v>2</v>
      </c>
    </row>
    <row r="6" spans="1:48">
      <c r="A6" s="155" t="s">
        <v>347</v>
      </c>
      <c r="B6" s="331"/>
      <c r="C6" s="331"/>
      <c r="D6" s="331"/>
      <c r="E6" s="331">
        <v>1</v>
      </c>
      <c r="F6" s="331"/>
      <c r="G6" s="331">
        <v>5</v>
      </c>
      <c r="H6" s="331"/>
      <c r="I6" s="331">
        <v>6</v>
      </c>
    </row>
    <row r="7" spans="1:48">
      <c r="A7" s="155" t="s">
        <v>344</v>
      </c>
      <c r="B7" s="331"/>
      <c r="C7" s="331"/>
      <c r="D7" s="331"/>
      <c r="E7" s="331"/>
      <c r="F7" s="331"/>
      <c r="G7" s="331">
        <v>5</v>
      </c>
      <c r="H7" s="331"/>
      <c r="I7" s="331">
        <v>5</v>
      </c>
    </row>
    <row r="8" spans="1:48">
      <c r="A8" s="155" t="s">
        <v>341</v>
      </c>
      <c r="B8" s="331"/>
      <c r="C8" s="331"/>
      <c r="D8" s="331">
        <v>1</v>
      </c>
      <c r="E8" s="331"/>
      <c r="F8" s="331"/>
      <c r="G8" s="331">
        <v>2</v>
      </c>
      <c r="H8" s="331"/>
      <c r="I8" s="331">
        <v>3</v>
      </c>
      <c r="N8" s="154" t="s">
        <v>718</v>
      </c>
      <c r="O8" s="154" t="s">
        <v>356</v>
      </c>
      <c r="AU8" s="154" t="s">
        <v>249</v>
      </c>
      <c r="AV8" t="s">
        <v>720</v>
      </c>
    </row>
    <row r="9" spans="1:48">
      <c r="A9" s="155" t="s">
        <v>714</v>
      </c>
      <c r="B9" s="331"/>
      <c r="C9" s="331">
        <v>1</v>
      </c>
      <c r="D9" s="331"/>
      <c r="E9" s="331"/>
      <c r="F9" s="331"/>
      <c r="G9" s="331">
        <v>3</v>
      </c>
      <c r="H9" s="331"/>
      <c r="I9" s="331">
        <v>4</v>
      </c>
      <c r="N9" s="154" t="s">
        <v>249</v>
      </c>
      <c r="O9" t="s">
        <v>152</v>
      </c>
      <c r="P9" t="s">
        <v>141</v>
      </c>
      <c r="Q9" t="s">
        <v>135</v>
      </c>
      <c r="R9" t="s">
        <v>165</v>
      </c>
      <c r="S9" t="s">
        <v>162</v>
      </c>
      <c r="T9" t="s">
        <v>146</v>
      </c>
      <c r="U9" t="s">
        <v>133</v>
      </c>
      <c r="V9" t="s">
        <v>202</v>
      </c>
      <c r="W9" t="s">
        <v>213</v>
      </c>
      <c r="X9" t="s">
        <v>35</v>
      </c>
      <c r="Y9" t="s">
        <v>189</v>
      </c>
      <c r="Z9" t="s">
        <v>717</v>
      </c>
      <c r="AA9" t="s">
        <v>12</v>
      </c>
      <c r="AU9" s="155" t="s">
        <v>170</v>
      </c>
      <c r="AV9" s="331">
        <v>1</v>
      </c>
    </row>
    <row r="10" spans="1:48">
      <c r="A10" s="155" t="s">
        <v>716</v>
      </c>
      <c r="B10" s="331">
        <v>1</v>
      </c>
      <c r="C10" s="331"/>
      <c r="D10" s="331"/>
      <c r="E10" s="331"/>
      <c r="F10" s="331"/>
      <c r="G10" s="331"/>
      <c r="H10" s="331"/>
      <c r="I10" s="331">
        <v>1</v>
      </c>
      <c r="N10" s="155" t="s">
        <v>715</v>
      </c>
      <c r="O10" s="331"/>
      <c r="P10" s="331"/>
      <c r="Q10" s="331"/>
      <c r="R10" s="331"/>
      <c r="S10" s="331"/>
      <c r="T10" s="331"/>
      <c r="U10" s="331"/>
      <c r="V10" s="331"/>
      <c r="W10" s="331"/>
      <c r="X10" s="331">
        <v>2</v>
      </c>
      <c r="Y10" s="331"/>
      <c r="Z10" s="331"/>
      <c r="AA10" s="331">
        <v>2</v>
      </c>
      <c r="AU10" s="155" t="s">
        <v>98</v>
      </c>
      <c r="AV10" s="331">
        <v>6</v>
      </c>
    </row>
    <row r="11" spans="1:48">
      <c r="A11" s="155" t="s">
        <v>338</v>
      </c>
      <c r="B11" s="331"/>
      <c r="C11" s="331">
        <v>1</v>
      </c>
      <c r="D11" s="331"/>
      <c r="E11" s="331"/>
      <c r="F11" s="331">
        <v>1</v>
      </c>
      <c r="G11" s="331">
        <v>6</v>
      </c>
      <c r="H11" s="331"/>
      <c r="I11" s="331">
        <v>8</v>
      </c>
      <c r="N11" s="155" t="s">
        <v>347</v>
      </c>
      <c r="O11" s="331">
        <v>1</v>
      </c>
      <c r="P11" s="331">
        <v>1</v>
      </c>
      <c r="Q11" s="331">
        <v>1</v>
      </c>
      <c r="R11" s="331"/>
      <c r="S11" s="331">
        <v>1</v>
      </c>
      <c r="T11" s="331">
        <v>2</v>
      </c>
      <c r="U11" s="331"/>
      <c r="V11" s="331"/>
      <c r="W11" s="331"/>
      <c r="X11" s="331"/>
      <c r="Y11" s="331"/>
      <c r="Z11" s="331"/>
      <c r="AA11" s="331">
        <v>6</v>
      </c>
      <c r="AO11" s="154" t="s">
        <v>249</v>
      </c>
      <c r="AU11" s="155" t="s">
        <v>154</v>
      </c>
      <c r="AV11" s="331">
        <v>4</v>
      </c>
    </row>
    <row r="12" spans="1:48">
      <c r="A12" s="155" t="s">
        <v>336</v>
      </c>
      <c r="B12" s="331"/>
      <c r="C12" s="331"/>
      <c r="D12" s="331"/>
      <c r="E12" s="331"/>
      <c r="F12" s="331"/>
      <c r="G12" s="331">
        <v>10</v>
      </c>
      <c r="H12" s="331"/>
      <c r="I12" s="331">
        <v>10</v>
      </c>
      <c r="N12" s="155" t="s">
        <v>344</v>
      </c>
      <c r="O12" s="331"/>
      <c r="P12" s="331"/>
      <c r="Q12" s="331"/>
      <c r="R12" s="331"/>
      <c r="S12" s="331"/>
      <c r="T12" s="331">
        <v>1</v>
      </c>
      <c r="U12" s="331"/>
      <c r="V12" s="331"/>
      <c r="W12" s="331"/>
      <c r="X12" s="331">
        <v>3</v>
      </c>
      <c r="Y12" s="331">
        <v>1</v>
      </c>
      <c r="Z12" s="331"/>
      <c r="AA12" s="331">
        <v>5</v>
      </c>
      <c r="AO12" s="155" t="s">
        <v>152</v>
      </c>
      <c r="AU12" s="155" t="s">
        <v>90</v>
      </c>
      <c r="AV12" s="331">
        <v>1</v>
      </c>
    </row>
    <row r="13" spans="1:48">
      <c r="A13" s="155" t="s">
        <v>334</v>
      </c>
      <c r="B13" s="331"/>
      <c r="C13" s="331"/>
      <c r="D13" s="331"/>
      <c r="E13" s="331"/>
      <c r="F13" s="331"/>
      <c r="G13" s="331">
        <v>9</v>
      </c>
      <c r="H13" s="331"/>
      <c r="I13" s="331">
        <v>9</v>
      </c>
      <c r="N13" s="155" t="s">
        <v>341</v>
      </c>
      <c r="O13" s="331"/>
      <c r="P13" s="331"/>
      <c r="Q13" s="331"/>
      <c r="R13" s="331">
        <v>2</v>
      </c>
      <c r="S13" s="331"/>
      <c r="T13" s="331"/>
      <c r="U13" s="331"/>
      <c r="V13" s="331"/>
      <c r="W13" s="331"/>
      <c r="X13" s="331">
        <v>1</v>
      </c>
      <c r="Y13" s="331"/>
      <c r="Z13" s="331"/>
      <c r="AA13" s="331">
        <v>3</v>
      </c>
      <c r="AG13" s="154" t="s">
        <v>249</v>
      </c>
      <c r="AH13" t="s">
        <v>250</v>
      </c>
      <c r="AO13" s="155" t="s">
        <v>141</v>
      </c>
      <c r="AU13" s="155" t="s">
        <v>39</v>
      </c>
      <c r="AV13" s="331">
        <v>1</v>
      </c>
    </row>
    <row r="14" spans="1:48">
      <c r="A14" s="155" t="s">
        <v>717</v>
      </c>
      <c r="B14" s="331"/>
      <c r="C14" s="331"/>
      <c r="D14" s="331"/>
      <c r="E14" s="331"/>
      <c r="F14" s="331"/>
      <c r="G14" s="331"/>
      <c r="H14" s="331"/>
      <c r="I14" s="331"/>
      <c r="N14" s="155" t="s">
        <v>714</v>
      </c>
      <c r="O14" s="331"/>
      <c r="P14" s="331"/>
      <c r="Q14" s="331"/>
      <c r="R14" s="331"/>
      <c r="S14" s="331"/>
      <c r="T14" s="331"/>
      <c r="U14" s="331"/>
      <c r="V14" s="331">
        <v>1</v>
      </c>
      <c r="W14" s="331">
        <v>1</v>
      </c>
      <c r="X14" s="331">
        <v>2</v>
      </c>
      <c r="Y14" s="331"/>
      <c r="Z14" s="331"/>
      <c r="AA14" s="331">
        <v>4</v>
      </c>
      <c r="AG14" s="155" t="s">
        <v>4</v>
      </c>
      <c r="AH14" s="331">
        <v>1</v>
      </c>
      <c r="AO14" s="155" t="s">
        <v>135</v>
      </c>
      <c r="AU14" s="155" t="s">
        <v>83</v>
      </c>
      <c r="AV14" s="331">
        <v>1</v>
      </c>
    </row>
    <row r="15" spans="1:48">
      <c r="A15" s="155" t="s">
        <v>12</v>
      </c>
      <c r="B15" s="331">
        <v>1</v>
      </c>
      <c r="C15" s="331">
        <v>2</v>
      </c>
      <c r="D15" s="331">
        <v>1</v>
      </c>
      <c r="E15" s="331">
        <v>1</v>
      </c>
      <c r="F15" s="331">
        <v>1</v>
      </c>
      <c r="G15" s="331">
        <v>42</v>
      </c>
      <c r="H15" s="331"/>
      <c r="I15" s="331">
        <v>48</v>
      </c>
      <c r="N15" s="155" t="s">
        <v>716</v>
      </c>
      <c r="O15" s="331"/>
      <c r="P15" s="331"/>
      <c r="Q15" s="331"/>
      <c r="R15" s="331">
        <v>1</v>
      </c>
      <c r="S15" s="331"/>
      <c r="T15" s="331"/>
      <c r="U15" s="331"/>
      <c r="V15" s="331"/>
      <c r="W15" s="331"/>
      <c r="X15" s="331"/>
      <c r="Y15" s="331"/>
      <c r="Z15" s="331"/>
      <c r="AA15" s="331">
        <v>1</v>
      </c>
      <c r="AG15" s="155" t="s">
        <v>5</v>
      </c>
      <c r="AH15" s="331">
        <v>2</v>
      </c>
      <c r="AO15" s="155" t="s">
        <v>165</v>
      </c>
      <c r="AU15" s="155" t="s">
        <v>77</v>
      </c>
      <c r="AV15" s="331">
        <v>1</v>
      </c>
    </row>
    <row r="16" spans="1:48">
      <c r="N16" s="155" t="s">
        <v>338</v>
      </c>
      <c r="O16" s="331"/>
      <c r="P16" s="331"/>
      <c r="Q16" s="331"/>
      <c r="R16" s="331"/>
      <c r="S16" s="331"/>
      <c r="T16" s="331"/>
      <c r="U16" s="331">
        <v>1</v>
      </c>
      <c r="V16" s="331"/>
      <c r="W16" s="331"/>
      <c r="X16" s="331">
        <v>7</v>
      </c>
      <c r="Y16" s="331"/>
      <c r="Z16" s="331"/>
      <c r="AA16" s="331">
        <v>8</v>
      </c>
      <c r="AG16" s="155" t="s">
        <v>6</v>
      </c>
      <c r="AH16" s="331">
        <v>1</v>
      </c>
      <c r="AO16" s="155" t="s">
        <v>162</v>
      </c>
      <c r="AU16" s="155" t="s">
        <v>61</v>
      </c>
      <c r="AV16" s="331">
        <v>11</v>
      </c>
    </row>
    <row r="17" spans="14:48">
      <c r="N17" s="155" t="s">
        <v>336</v>
      </c>
      <c r="O17" s="331"/>
      <c r="P17" s="331"/>
      <c r="Q17" s="331"/>
      <c r="R17" s="331"/>
      <c r="S17" s="331"/>
      <c r="T17" s="331"/>
      <c r="U17" s="331"/>
      <c r="V17" s="331"/>
      <c r="W17" s="331"/>
      <c r="X17" s="331">
        <v>10</v>
      </c>
      <c r="Y17" s="331"/>
      <c r="Z17" s="331"/>
      <c r="AA17" s="331">
        <v>10</v>
      </c>
      <c r="AG17" s="155" t="s">
        <v>140</v>
      </c>
      <c r="AH17" s="331">
        <v>1</v>
      </c>
      <c r="AO17" s="155" t="s">
        <v>146</v>
      </c>
      <c r="AU17" s="155" t="s">
        <v>117</v>
      </c>
      <c r="AV17" s="331">
        <v>1</v>
      </c>
    </row>
    <row r="18" spans="14:48">
      <c r="N18" s="155" t="s">
        <v>334</v>
      </c>
      <c r="O18" s="331"/>
      <c r="P18" s="331"/>
      <c r="Q18" s="331"/>
      <c r="R18" s="331"/>
      <c r="S18" s="331"/>
      <c r="T18" s="331"/>
      <c r="U18" s="331"/>
      <c r="V18" s="331"/>
      <c r="W18" s="331"/>
      <c r="X18" s="331">
        <v>9</v>
      </c>
      <c r="Y18" s="331"/>
      <c r="Z18" s="331"/>
      <c r="AA18" s="331">
        <v>9</v>
      </c>
      <c r="AG18" s="155" t="s">
        <v>113</v>
      </c>
      <c r="AH18" s="331">
        <v>1</v>
      </c>
      <c r="AO18" s="155" t="s">
        <v>133</v>
      </c>
      <c r="AU18" s="155" t="s">
        <v>44</v>
      </c>
      <c r="AV18" s="331">
        <v>2</v>
      </c>
    </row>
    <row r="19" spans="14:48">
      <c r="N19" s="155" t="s">
        <v>717</v>
      </c>
      <c r="O19" s="331"/>
      <c r="P19" s="331"/>
      <c r="Q19" s="331"/>
      <c r="R19" s="331"/>
      <c r="S19" s="331"/>
      <c r="T19" s="331"/>
      <c r="U19" s="331"/>
      <c r="V19" s="331"/>
      <c r="W19" s="331"/>
      <c r="X19" s="331"/>
      <c r="Y19" s="331"/>
      <c r="Z19" s="331"/>
      <c r="AA19" s="331"/>
      <c r="AG19" s="155" t="s">
        <v>34</v>
      </c>
      <c r="AH19" s="331">
        <v>42</v>
      </c>
      <c r="AO19" s="155" t="s">
        <v>202</v>
      </c>
      <c r="AU19" s="155" t="s">
        <v>148</v>
      </c>
      <c r="AV19" s="331">
        <v>3</v>
      </c>
    </row>
    <row r="20" spans="14:48">
      <c r="N20" s="155" t="s">
        <v>12</v>
      </c>
      <c r="O20" s="331">
        <v>1</v>
      </c>
      <c r="P20" s="331">
        <v>1</v>
      </c>
      <c r="Q20" s="331">
        <v>1</v>
      </c>
      <c r="R20" s="331">
        <v>3</v>
      </c>
      <c r="S20" s="331">
        <v>1</v>
      </c>
      <c r="T20" s="331">
        <v>3</v>
      </c>
      <c r="U20" s="331">
        <v>1</v>
      </c>
      <c r="V20" s="331">
        <v>1</v>
      </c>
      <c r="W20" s="331">
        <v>1</v>
      </c>
      <c r="X20" s="331">
        <v>34</v>
      </c>
      <c r="Y20" s="331">
        <v>1</v>
      </c>
      <c r="Z20" s="331"/>
      <c r="AA20" s="331">
        <v>48</v>
      </c>
      <c r="AG20" s="155" t="s">
        <v>717</v>
      </c>
      <c r="AH20" s="331"/>
      <c r="AO20" s="155" t="s">
        <v>213</v>
      </c>
      <c r="AU20" s="155" t="s">
        <v>164</v>
      </c>
      <c r="AV20" s="331">
        <v>1</v>
      </c>
    </row>
    <row r="21" spans="14:48">
      <c r="AG21" s="155" t="s">
        <v>12</v>
      </c>
      <c r="AH21" s="331">
        <v>48</v>
      </c>
      <c r="AO21" s="155" t="s">
        <v>35</v>
      </c>
      <c r="AU21" s="155" t="s">
        <v>67</v>
      </c>
      <c r="AV21" s="331">
        <v>4</v>
      </c>
    </row>
    <row r="22" spans="14:48">
      <c r="AO22" s="155" t="s">
        <v>189</v>
      </c>
      <c r="AU22" s="155" t="s">
        <v>54</v>
      </c>
      <c r="AV22" s="331">
        <v>1</v>
      </c>
    </row>
    <row r="23" spans="14:48">
      <c r="AO23" s="155" t="s">
        <v>717</v>
      </c>
      <c r="AU23" s="155" t="s">
        <v>48</v>
      </c>
      <c r="AV23" s="331">
        <v>2</v>
      </c>
    </row>
    <row r="24" spans="14:48">
      <c r="AO24" s="155" t="s">
        <v>12</v>
      </c>
      <c r="AU24" s="155" t="s">
        <v>94</v>
      </c>
      <c r="AV24" s="331">
        <v>1</v>
      </c>
    </row>
    <row r="25" spans="14:48">
      <c r="AU25" s="155" t="s">
        <v>109</v>
      </c>
      <c r="AV25" s="331">
        <v>1</v>
      </c>
    </row>
    <row r="26" spans="14:48">
      <c r="AJ26" s="154" t="s">
        <v>249</v>
      </c>
      <c r="AK26" t="s">
        <v>719</v>
      </c>
      <c r="AU26" s="155" t="s">
        <v>58</v>
      </c>
      <c r="AV26" s="331">
        <v>1</v>
      </c>
    </row>
    <row r="27" spans="14:48">
      <c r="AJ27" s="155" t="s">
        <v>152</v>
      </c>
      <c r="AK27" s="331">
        <v>1</v>
      </c>
      <c r="AU27" s="155" t="s">
        <v>717</v>
      </c>
      <c r="AV27" s="331"/>
    </row>
    <row r="28" spans="14:48">
      <c r="AJ28" s="155" t="s">
        <v>141</v>
      </c>
      <c r="AK28" s="331">
        <v>1</v>
      </c>
      <c r="AU28" s="155" t="s">
        <v>12</v>
      </c>
      <c r="AV28" s="331">
        <v>43</v>
      </c>
    </row>
    <row r="29" spans="14:48">
      <c r="AJ29" s="155" t="s">
        <v>135</v>
      </c>
      <c r="AK29" s="331">
        <v>1</v>
      </c>
    </row>
    <row r="30" spans="14:48">
      <c r="AJ30" s="155" t="s">
        <v>165</v>
      </c>
      <c r="AK30" s="331">
        <v>3</v>
      </c>
    </row>
    <row r="31" spans="14:48">
      <c r="AJ31" s="155" t="s">
        <v>162</v>
      </c>
      <c r="AK31" s="331">
        <v>1</v>
      </c>
    </row>
    <row r="32" spans="14:48">
      <c r="AJ32" s="155" t="s">
        <v>146</v>
      </c>
      <c r="AK32" s="331">
        <v>3</v>
      </c>
    </row>
    <row r="33" spans="36:37">
      <c r="AJ33" s="155" t="s">
        <v>133</v>
      </c>
      <c r="AK33" s="331">
        <v>1</v>
      </c>
    </row>
    <row r="34" spans="36:37">
      <c r="AJ34" s="155" t="s">
        <v>202</v>
      </c>
      <c r="AK34" s="331">
        <v>1</v>
      </c>
    </row>
    <row r="35" spans="36:37">
      <c r="AJ35" s="155" t="s">
        <v>213</v>
      </c>
      <c r="AK35" s="331">
        <v>1</v>
      </c>
    </row>
    <row r="36" spans="36:37">
      <c r="AJ36" s="155" t="s">
        <v>35</v>
      </c>
      <c r="AK36" s="331">
        <v>34</v>
      </c>
    </row>
    <row r="37" spans="36:37">
      <c r="AJ37" s="155" t="s">
        <v>189</v>
      </c>
      <c r="AK37" s="331">
        <v>1</v>
      </c>
    </row>
    <row r="38" spans="36:37">
      <c r="AJ38" s="155" t="s">
        <v>717</v>
      </c>
      <c r="AK38" s="331"/>
    </row>
    <row r="39" spans="36:37">
      <c r="AJ39" s="155" t="s">
        <v>12</v>
      </c>
      <c r="AK39" s="331">
        <v>48</v>
      </c>
    </row>
  </sheetData>
  <pageMargins left="0.7" right="0.7" top="0.75" bottom="0.75" header="0.3" footer="0.3"/>
  <pageSetup paperSize="9" orientation="portrait" r:id="rId7"/>
  <drawing r:id="rId8"/>
  <extLst>
    <ext xmlns:x14="http://schemas.microsoft.com/office/spreadsheetml/2009/9/main" uri="{A8765BA9-456A-4dab-B4F3-ACF838C121DE}">
      <x14:slicerList>
        <x14:slicer r:id="rId9"/>
      </x14:slicerList>
    </ext>
    <ext xmlns:x15="http://schemas.microsoft.com/office/spreadsheetml/2010/11/main" uri="{7E03D99C-DC04-49d9-9315-930204A7B6E9}">
      <x15:timelineRefs>
        <x15:timelineRef r:id="rId10"/>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abSelected="1" zoomScale="69" zoomScaleNormal="70" workbookViewId="0"/>
  </sheetViews>
  <sheetFormatPr defaultRowHeight="14.4"/>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zoomScale="70" zoomScaleNormal="70" workbookViewId="0">
      <selection activeCell="AG26" sqref="AG26"/>
    </sheetView>
  </sheetViews>
  <sheetFormatPr defaultRowHeight="14.4"/>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AK49"/>
  <sheetViews>
    <sheetView zoomScaleNormal="100" workbookViewId="0">
      <pane ySplit="1" topLeftCell="A34" activePane="bottomLeft" state="frozen"/>
      <selection pane="bottomLeft" activeCell="H37" sqref="H37"/>
    </sheetView>
  </sheetViews>
  <sheetFormatPr defaultColWidth="9.109375" defaultRowHeight="15" customHeight="1"/>
  <cols>
    <col min="1" max="1" width="11.5546875" style="166" customWidth="1"/>
    <col min="2" max="2" width="29.88671875" style="175" bestFit="1" customWidth="1"/>
    <col min="3" max="3" width="25.109375" style="175" bestFit="1" customWidth="1"/>
    <col min="4" max="4" width="13.5546875" style="198" bestFit="1" customWidth="1"/>
    <col min="5" max="5" width="13.5546875" style="199" bestFit="1" customWidth="1"/>
    <col min="6" max="6" width="9.88671875" style="201" customWidth="1"/>
    <col min="7" max="7" width="10.33203125" style="175" customWidth="1"/>
    <col min="8" max="8" width="14.88671875" style="175" customWidth="1"/>
    <col min="9" max="9" width="13.6640625" style="175" customWidth="1"/>
    <col min="10" max="10" width="24.88671875" style="175" bestFit="1" customWidth="1"/>
    <col min="11" max="11" width="12" style="175" bestFit="1" customWidth="1"/>
    <col min="12" max="12" width="8.109375" style="201" bestFit="1" customWidth="1"/>
    <col min="13" max="13" width="41.88671875" style="200" bestFit="1" customWidth="1"/>
    <col min="14" max="14" width="26.6640625" style="175" bestFit="1" customWidth="1"/>
    <col min="15" max="15" width="19.5546875" style="175" customWidth="1"/>
    <col min="16" max="16" width="31" style="175" customWidth="1"/>
    <col min="17" max="17" width="35.44140625" style="175" customWidth="1"/>
    <col min="18" max="18" width="23" style="175" customWidth="1"/>
    <col min="19" max="19" width="27.5546875" style="113" customWidth="1"/>
    <col min="20" max="20" width="23.88671875" style="175" customWidth="1"/>
    <col min="21" max="21" width="40.33203125" style="113" customWidth="1"/>
    <col min="22" max="36" width="9.109375" style="175"/>
    <col min="37" max="37" width="10.44140625" style="175" bestFit="1" customWidth="1"/>
    <col min="38" max="16384" width="9.109375" style="175"/>
  </cols>
  <sheetData>
    <row r="1" spans="1:37" s="24" customFormat="1" ht="28.8">
      <c r="A1" s="225" t="s">
        <v>13</v>
      </c>
      <c r="B1" s="86" t="s">
        <v>14</v>
      </c>
      <c r="C1" s="225" t="s">
        <v>15</v>
      </c>
      <c r="D1" s="226" t="s">
        <v>16</v>
      </c>
      <c r="E1" s="160" t="s">
        <v>17</v>
      </c>
      <c r="F1" s="161" t="s">
        <v>18</v>
      </c>
      <c r="G1" s="86" t="s">
        <v>19</v>
      </c>
      <c r="H1" s="86" t="s">
        <v>20</v>
      </c>
      <c r="I1" s="225" t="s">
        <v>21</v>
      </c>
      <c r="J1" s="86" t="s">
        <v>22</v>
      </c>
      <c r="K1" s="225" t="s">
        <v>23</v>
      </c>
      <c r="L1" s="161" t="s">
        <v>24</v>
      </c>
      <c r="M1" s="162" t="s">
        <v>25</v>
      </c>
      <c r="N1" s="86" t="s">
        <v>26</v>
      </c>
      <c r="O1" s="86" t="s">
        <v>27</v>
      </c>
      <c r="P1" s="225" t="s">
        <v>28</v>
      </c>
      <c r="Q1" s="86" t="s">
        <v>29</v>
      </c>
      <c r="R1" s="86" t="s">
        <v>30</v>
      </c>
      <c r="S1" s="86" t="s">
        <v>31</v>
      </c>
      <c r="T1" s="86" t="s">
        <v>32</v>
      </c>
      <c r="U1" s="225" t="s">
        <v>33</v>
      </c>
    </row>
    <row r="2" spans="1:37" ht="16.5" customHeight="1">
      <c r="A2" s="163">
        <v>1</v>
      </c>
      <c r="B2" s="167"/>
      <c r="C2" s="167" t="s">
        <v>34</v>
      </c>
      <c r="D2" s="168">
        <v>44816</v>
      </c>
      <c r="E2" s="169" t="str">
        <f>TEXT(D2,"mmm/yy")</f>
        <v>Sep/22</v>
      </c>
      <c r="F2" s="170">
        <f ca="1">$AK$2-D2</f>
        <v>256</v>
      </c>
      <c r="G2" s="167" t="str">
        <f ca="1" xml:space="preserve"> IF(F2&lt;30, "Yes","No")</f>
        <v>No</v>
      </c>
      <c r="H2" s="168" t="s">
        <v>35</v>
      </c>
      <c r="I2" s="168"/>
      <c r="J2" s="171" t="s">
        <v>36</v>
      </c>
      <c r="K2" s="168">
        <v>44841</v>
      </c>
      <c r="L2" s="170">
        <f ca="1">K2-'Do not delete'!$A$1</f>
        <v>-231</v>
      </c>
      <c r="M2" s="172" t="s">
        <v>37</v>
      </c>
      <c r="N2" s="167"/>
      <c r="O2" s="167" t="s">
        <v>38</v>
      </c>
      <c r="P2" s="167" t="s">
        <v>39</v>
      </c>
      <c r="Q2" s="167" t="s">
        <v>40</v>
      </c>
      <c r="R2" s="167" t="s">
        <v>41</v>
      </c>
      <c r="S2" s="173"/>
      <c r="T2" s="174" t="s">
        <v>42</v>
      </c>
      <c r="U2" s="175"/>
      <c r="AK2" s="198">
        <f ca="1">TODAY()</f>
        <v>45072</v>
      </c>
    </row>
    <row r="3" spans="1:37" ht="14.4">
      <c r="A3" s="163">
        <v>2</v>
      </c>
      <c r="B3" s="167"/>
      <c r="C3" s="167" t="s">
        <v>34</v>
      </c>
      <c r="D3" s="168">
        <v>44816</v>
      </c>
      <c r="E3" s="169" t="str">
        <f t="shared" ref="E3:E35" si="0">TEXT(D3,"mmm/yy")</f>
        <v>Sep/22</v>
      </c>
      <c r="F3" s="170">
        <f t="shared" ref="F3:F46" ca="1" si="1">$AK$2-D3</f>
        <v>256</v>
      </c>
      <c r="G3" s="167" t="str">
        <f t="shared" ref="G3:G39" ca="1" si="2" xml:space="preserve"> IF(F3&lt;30, "Yes","No")</f>
        <v>No</v>
      </c>
      <c r="H3" s="168" t="s">
        <v>35</v>
      </c>
      <c r="I3" s="168"/>
      <c r="J3" s="171" t="s">
        <v>43</v>
      </c>
      <c r="K3" s="168">
        <v>44840</v>
      </c>
      <c r="L3" s="170">
        <f ca="1">K3-'Do not delete'!$A$1</f>
        <v>-232</v>
      </c>
      <c r="M3" s="172" t="s">
        <v>37</v>
      </c>
      <c r="N3" s="167"/>
      <c r="O3" s="167" t="s">
        <v>38</v>
      </c>
      <c r="P3" s="167" t="s">
        <v>44</v>
      </c>
      <c r="Q3" s="167" t="s">
        <v>45</v>
      </c>
      <c r="R3" s="167" t="s">
        <v>41</v>
      </c>
      <c r="S3" s="173"/>
      <c r="T3" s="174" t="s">
        <v>46</v>
      </c>
      <c r="U3" s="175"/>
    </row>
    <row r="4" spans="1:37" ht="14.4">
      <c r="A4" s="163">
        <v>3</v>
      </c>
      <c r="B4" s="167"/>
      <c r="C4" s="167" t="s">
        <v>34</v>
      </c>
      <c r="D4" s="168">
        <v>44816</v>
      </c>
      <c r="E4" s="169" t="str">
        <f t="shared" si="0"/>
        <v>Sep/22</v>
      </c>
      <c r="F4" s="170">
        <f t="shared" ca="1" si="1"/>
        <v>256</v>
      </c>
      <c r="G4" s="167" t="str">
        <f t="shared" ca="1" si="2"/>
        <v>No</v>
      </c>
      <c r="H4" s="168" t="s">
        <v>35</v>
      </c>
      <c r="I4" s="168"/>
      <c r="J4" s="171" t="s">
        <v>47</v>
      </c>
      <c r="K4" s="168">
        <v>44844</v>
      </c>
      <c r="L4" s="170">
        <f ca="1">K4-'Do not delete'!$A$1</f>
        <v>-228</v>
      </c>
      <c r="M4" s="172" t="s">
        <v>37</v>
      </c>
      <c r="N4" s="167"/>
      <c r="O4" s="167" t="s">
        <v>38</v>
      </c>
      <c r="P4" s="167" t="s">
        <v>48</v>
      </c>
      <c r="Q4" s="167" t="s">
        <v>49</v>
      </c>
      <c r="R4" s="167" t="s">
        <v>50</v>
      </c>
      <c r="S4" s="173"/>
      <c r="T4" s="174" t="s">
        <v>51</v>
      </c>
      <c r="U4" s="175"/>
    </row>
    <row r="5" spans="1:37" ht="14.4">
      <c r="A5" s="163">
        <v>4</v>
      </c>
      <c r="B5" s="167"/>
      <c r="C5" s="167" t="s">
        <v>34</v>
      </c>
      <c r="D5" s="168">
        <v>44816</v>
      </c>
      <c r="E5" s="169" t="str">
        <f t="shared" si="0"/>
        <v>Sep/22</v>
      </c>
      <c r="F5" s="170">
        <f t="shared" ca="1" si="1"/>
        <v>256</v>
      </c>
      <c r="G5" s="167" t="str">
        <f t="shared" ca="1" si="2"/>
        <v>No</v>
      </c>
      <c r="H5" s="168" t="s">
        <v>35</v>
      </c>
      <c r="I5" s="168"/>
      <c r="J5" s="171" t="s">
        <v>52</v>
      </c>
      <c r="K5" s="168">
        <v>44834</v>
      </c>
      <c r="L5" s="170">
        <f ca="1">K5-'Do not delete'!$A$1</f>
        <v>-238</v>
      </c>
      <c r="M5" s="172" t="s">
        <v>53</v>
      </c>
      <c r="N5" s="167"/>
      <c r="O5" s="167" t="s">
        <v>53</v>
      </c>
      <c r="P5" s="167" t="s">
        <v>54</v>
      </c>
      <c r="Q5" s="167" t="s">
        <v>55</v>
      </c>
      <c r="R5" s="167" t="s">
        <v>50</v>
      </c>
      <c r="S5" s="173"/>
      <c r="T5" s="174" t="s">
        <v>56</v>
      </c>
      <c r="U5" s="175"/>
    </row>
    <row r="6" spans="1:37" ht="14.4">
      <c r="A6" s="163">
        <v>5</v>
      </c>
      <c r="B6" s="167"/>
      <c r="C6" s="167" t="s">
        <v>34</v>
      </c>
      <c r="D6" s="168">
        <v>44816</v>
      </c>
      <c r="E6" s="169" t="str">
        <f t="shared" si="0"/>
        <v>Sep/22</v>
      </c>
      <c r="F6" s="170">
        <f t="shared" ca="1" si="1"/>
        <v>256</v>
      </c>
      <c r="G6" s="167" t="str">
        <f t="shared" ca="1" si="2"/>
        <v>No</v>
      </c>
      <c r="H6" s="168" t="s">
        <v>35</v>
      </c>
      <c r="I6" s="168"/>
      <c r="J6" s="171" t="s">
        <v>57</v>
      </c>
      <c r="K6" s="168">
        <v>44837</v>
      </c>
      <c r="L6" s="170">
        <f ca="1">K6-'Do not delete'!$A$1</f>
        <v>-235</v>
      </c>
      <c r="M6" s="172" t="s">
        <v>53</v>
      </c>
      <c r="N6" s="167"/>
      <c r="O6" s="167" t="s">
        <v>53</v>
      </c>
      <c r="P6" s="167" t="s">
        <v>58</v>
      </c>
      <c r="Q6" s="167" t="s">
        <v>59</v>
      </c>
      <c r="R6" s="167" t="s">
        <v>50</v>
      </c>
      <c r="S6" s="173"/>
      <c r="T6" s="174" t="s">
        <v>60</v>
      </c>
      <c r="U6" s="175"/>
    </row>
    <row r="7" spans="1:37" ht="14.4">
      <c r="A7" s="163">
        <v>6</v>
      </c>
      <c r="B7" s="167"/>
      <c r="C7" s="167" t="s">
        <v>34</v>
      </c>
      <c r="D7" s="168">
        <v>44832</v>
      </c>
      <c r="E7" s="169" t="str">
        <f t="shared" si="0"/>
        <v>Sep/22</v>
      </c>
      <c r="F7" s="170">
        <f t="shared" ca="1" si="1"/>
        <v>240</v>
      </c>
      <c r="G7" s="167" t="str">
        <f t="shared" ca="1" si="2"/>
        <v>No</v>
      </c>
      <c r="H7" s="168" t="s">
        <v>35</v>
      </c>
      <c r="I7" s="168"/>
      <c r="J7" s="167" t="s">
        <v>57</v>
      </c>
      <c r="K7" s="176">
        <v>44837</v>
      </c>
      <c r="L7" s="170">
        <f ca="1">K7-'Do not delete'!$A$1</f>
        <v>-235</v>
      </c>
      <c r="M7" s="172" t="s">
        <v>37</v>
      </c>
      <c r="N7" s="167"/>
      <c r="O7" s="167" t="s">
        <v>38</v>
      </c>
      <c r="P7" s="167" t="s">
        <v>61</v>
      </c>
      <c r="Q7" s="167" t="s">
        <v>62</v>
      </c>
      <c r="R7" s="167" t="s">
        <v>41</v>
      </c>
      <c r="S7" s="173"/>
      <c r="T7" s="174" t="s">
        <v>60</v>
      </c>
      <c r="U7" s="175"/>
    </row>
    <row r="8" spans="1:37" ht="14.4">
      <c r="A8" s="163">
        <v>7</v>
      </c>
      <c r="B8" s="167"/>
      <c r="C8" s="167" t="s">
        <v>34</v>
      </c>
      <c r="D8" s="168">
        <v>44832</v>
      </c>
      <c r="E8" s="169" t="str">
        <f t="shared" si="0"/>
        <v>Sep/22</v>
      </c>
      <c r="F8" s="170">
        <f t="shared" ca="1" si="1"/>
        <v>240</v>
      </c>
      <c r="G8" s="167" t="str">
        <f t="shared" ca="1" si="2"/>
        <v>No</v>
      </c>
      <c r="H8" s="168" t="s">
        <v>35</v>
      </c>
      <c r="I8" s="168"/>
      <c r="J8" s="167" t="s">
        <v>63</v>
      </c>
      <c r="K8" s="177">
        <v>44839</v>
      </c>
      <c r="L8" s="170">
        <f ca="1">K8-'Do not delete'!$A$1</f>
        <v>-233</v>
      </c>
      <c r="M8" s="172" t="s">
        <v>37</v>
      </c>
      <c r="N8" s="167"/>
      <c r="O8" s="167" t="s">
        <v>38</v>
      </c>
      <c r="P8" s="167" t="s">
        <v>61</v>
      </c>
      <c r="Q8" s="167" t="s">
        <v>64</v>
      </c>
      <c r="R8" s="167" t="s">
        <v>41</v>
      </c>
      <c r="S8" s="173"/>
      <c r="T8" s="174" t="s">
        <v>65</v>
      </c>
      <c r="U8" s="175"/>
    </row>
    <row r="9" spans="1:37" ht="14.4">
      <c r="A9" s="163">
        <v>8</v>
      </c>
      <c r="B9" s="167"/>
      <c r="C9" s="167" t="s">
        <v>34</v>
      </c>
      <c r="D9" s="168">
        <v>44832</v>
      </c>
      <c r="E9" s="169" t="str">
        <f t="shared" si="0"/>
        <v>Sep/22</v>
      </c>
      <c r="F9" s="170">
        <f t="shared" ca="1" si="1"/>
        <v>240</v>
      </c>
      <c r="G9" s="167" t="str">
        <f t="shared" ca="1" si="2"/>
        <v>No</v>
      </c>
      <c r="H9" s="168" t="s">
        <v>35</v>
      </c>
      <c r="I9" s="168"/>
      <c r="J9" s="167" t="s">
        <v>66</v>
      </c>
      <c r="K9" s="177">
        <v>44849</v>
      </c>
      <c r="L9" s="170">
        <f ca="1">K9-'Do not delete'!$A$1</f>
        <v>-223</v>
      </c>
      <c r="M9" s="172" t="s">
        <v>37</v>
      </c>
      <c r="N9" s="167"/>
      <c r="O9" s="167" t="s">
        <v>38</v>
      </c>
      <c r="P9" s="167" t="s">
        <v>67</v>
      </c>
      <c r="Q9" s="167"/>
      <c r="R9" s="167"/>
      <c r="S9" s="173"/>
      <c r="T9" s="174" t="s">
        <v>68</v>
      </c>
      <c r="U9" s="175"/>
    </row>
    <row r="10" spans="1:37" ht="14.4">
      <c r="A10" s="163">
        <v>9</v>
      </c>
      <c r="B10" s="167"/>
      <c r="C10" s="167" t="s">
        <v>34</v>
      </c>
      <c r="D10" s="168">
        <v>44832</v>
      </c>
      <c r="E10" s="169" t="str">
        <f t="shared" si="0"/>
        <v>Sep/22</v>
      </c>
      <c r="F10" s="170">
        <f t="shared" ca="1" si="1"/>
        <v>240</v>
      </c>
      <c r="G10" s="167" t="str">
        <f t="shared" ca="1" si="2"/>
        <v>No</v>
      </c>
      <c r="H10" s="168" t="s">
        <v>35</v>
      </c>
      <c r="I10" s="168"/>
      <c r="J10" s="167" t="s">
        <v>69</v>
      </c>
      <c r="K10" s="168">
        <v>44844</v>
      </c>
      <c r="L10" s="170">
        <f ca="1">K10-'Do not delete'!$A$1</f>
        <v>-228</v>
      </c>
      <c r="M10" s="172" t="s">
        <v>37</v>
      </c>
      <c r="N10" s="167"/>
      <c r="O10" s="167" t="s">
        <v>53</v>
      </c>
      <c r="P10" s="167" t="s">
        <v>61</v>
      </c>
      <c r="Q10" s="167" t="s">
        <v>70</v>
      </c>
      <c r="R10" s="167" t="s">
        <v>41</v>
      </c>
      <c r="S10" s="173"/>
      <c r="T10" s="174" t="s">
        <v>71</v>
      </c>
      <c r="U10" s="175"/>
    </row>
    <row r="11" spans="1:37" ht="14.4">
      <c r="A11" s="163">
        <v>10</v>
      </c>
      <c r="B11" s="167"/>
      <c r="C11" s="167" t="s">
        <v>34</v>
      </c>
      <c r="D11" s="168">
        <v>44844</v>
      </c>
      <c r="E11" s="169" t="str">
        <f t="shared" si="0"/>
        <v>Oct/22</v>
      </c>
      <c r="F11" s="170">
        <f t="shared" ca="1" si="1"/>
        <v>228</v>
      </c>
      <c r="G11" s="167" t="str">
        <f t="shared" ca="1" si="2"/>
        <v>No</v>
      </c>
      <c r="H11" s="168" t="s">
        <v>35</v>
      </c>
      <c r="I11" s="168"/>
      <c r="J11" s="167" t="s">
        <v>72</v>
      </c>
      <c r="K11" s="177">
        <v>44863</v>
      </c>
      <c r="L11" s="170">
        <f ca="1">K11-'Do not delete'!$A$1</f>
        <v>-209</v>
      </c>
      <c r="M11" s="172" t="s">
        <v>37</v>
      </c>
      <c r="N11" s="167"/>
      <c r="O11" s="167" t="s">
        <v>38</v>
      </c>
      <c r="P11" s="167" t="s">
        <v>61</v>
      </c>
      <c r="Q11" s="167"/>
      <c r="R11" s="167"/>
      <c r="S11" s="173"/>
      <c r="T11" s="174" t="s">
        <v>73</v>
      </c>
      <c r="U11" s="178"/>
    </row>
    <row r="12" spans="1:37" ht="18.75" customHeight="1">
      <c r="A12" s="163">
        <v>11</v>
      </c>
      <c r="B12" s="167"/>
      <c r="C12" s="167" t="s">
        <v>34</v>
      </c>
      <c r="D12" s="168">
        <v>44844</v>
      </c>
      <c r="E12" s="169" t="str">
        <f t="shared" si="0"/>
        <v>Oct/22</v>
      </c>
      <c r="F12" s="170">
        <f t="shared" ca="1" si="1"/>
        <v>228</v>
      </c>
      <c r="G12" s="167" t="str">
        <f t="shared" ca="1" si="2"/>
        <v>No</v>
      </c>
      <c r="H12" s="168" t="s">
        <v>35</v>
      </c>
      <c r="I12" s="168"/>
      <c r="J12" s="167" t="s">
        <v>74</v>
      </c>
      <c r="K12" s="177">
        <v>44861</v>
      </c>
      <c r="L12" s="170">
        <f ca="1">K12-'Do not delete'!$A$1</f>
        <v>-211</v>
      </c>
      <c r="M12" s="172" t="s">
        <v>37</v>
      </c>
      <c r="N12" s="167"/>
      <c r="O12" s="167" t="s">
        <v>38</v>
      </c>
      <c r="P12" s="167" t="s">
        <v>61</v>
      </c>
      <c r="Q12" s="167"/>
      <c r="R12" s="167"/>
      <c r="S12" s="179"/>
      <c r="T12" s="174" t="s">
        <v>75</v>
      </c>
      <c r="U12" s="175"/>
    </row>
    <row r="13" spans="1:37" ht="15.75" customHeight="1">
      <c r="A13" s="163">
        <v>12</v>
      </c>
      <c r="B13" s="167"/>
      <c r="C13" s="167" t="s">
        <v>34</v>
      </c>
      <c r="D13" s="168">
        <v>44844</v>
      </c>
      <c r="E13" s="169" t="str">
        <f t="shared" si="0"/>
        <v>Oct/22</v>
      </c>
      <c r="F13" s="170">
        <f t="shared" ca="1" si="1"/>
        <v>228</v>
      </c>
      <c r="G13" s="167" t="str">
        <f t="shared" ca="1" si="2"/>
        <v>No</v>
      </c>
      <c r="H13" s="168" t="s">
        <v>35</v>
      </c>
      <c r="I13" s="168"/>
      <c r="J13" s="167" t="s">
        <v>76</v>
      </c>
      <c r="K13" s="177">
        <v>44865</v>
      </c>
      <c r="L13" s="170">
        <f ca="1">K13-'Do not delete'!$A$1</f>
        <v>-207</v>
      </c>
      <c r="M13" s="172" t="s">
        <v>37</v>
      </c>
      <c r="N13" s="167"/>
      <c r="O13" s="167" t="s">
        <v>38</v>
      </c>
      <c r="P13" s="167" t="s">
        <v>77</v>
      </c>
      <c r="Q13" s="167"/>
      <c r="R13" s="167"/>
      <c r="S13" s="180"/>
      <c r="T13" s="174" t="s">
        <v>78</v>
      </c>
      <c r="U13" s="175"/>
    </row>
    <row r="14" spans="1:37" ht="129.6">
      <c r="A14" s="163">
        <v>13</v>
      </c>
      <c r="B14" s="167"/>
      <c r="C14" s="167" t="s">
        <v>34</v>
      </c>
      <c r="D14" s="168">
        <v>44839</v>
      </c>
      <c r="E14" s="169" t="str">
        <f t="shared" si="0"/>
        <v>Oct/22</v>
      </c>
      <c r="F14" s="170">
        <f t="shared" ca="1" si="1"/>
        <v>233</v>
      </c>
      <c r="G14" s="167" t="str">
        <f t="shared" ca="1" si="2"/>
        <v>No</v>
      </c>
      <c r="H14" s="168" t="s">
        <v>35</v>
      </c>
      <c r="I14" s="168"/>
      <c r="J14" s="167" t="s">
        <v>79</v>
      </c>
      <c r="K14" s="177">
        <v>44861</v>
      </c>
      <c r="L14" s="170">
        <f ca="1">K14-'Do not delete'!$A$1</f>
        <v>-211</v>
      </c>
      <c r="M14" s="172" t="s">
        <v>37</v>
      </c>
      <c r="N14" s="167"/>
      <c r="O14" s="167" t="s">
        <v>38</v>
      </c>
      <c r="P14" s="167" t="s">
        <v>61</v>
      </c>
      <c r="Q14" s="167"/>
      <c r="R14" s="167"/>
      <c r="S14" s="173" t="s">
        <v>80</v>
      </c>
      <c r="T14" s="174" t="s">
        <v>81</v>
      </c>
      <c r="U14" s="175"/>
    </row>
    <row r="15" spans="1:37" ht="57.6">
      <c r="A15" s="163">
        <v>14</v>
      </c>
      <c r="B15" s="167"/>
      <c r="C15" s="167" t="s">
        <v>34</v>
      </c>
      <c r="D15" s="168">
        <v>44839</v>
      </c>
      <c r="E15" s="169" t="str">
        <f t="shared" si="0"/>
        <v>Oct/22</v>
      </c>
      <c r="F15" s="170">
        <f t="shared" ca="1" si="1"/>
        <v>233</v>
      </c>
      <c r="G15" s="167" t="str">
        <f t="shared" ca="1" si="2"/>
        <v>No</v>
      </c>
      <c r="H15" s="168" t="s">
        <v>35</v>
      </c>
      <c r="I15" s="168"/>
      <c r="J15" s="167" t="s">
        <v>82</v>
      </c>
      <c r="K15" s="177">
        <v>44865</v>
      </c>
      <c r="L15" s="170">
        <f ca="1">K15-'Do not delete'!$A$1</f>
        <v>-207</v>
      </c>
      <c r="M15" s="172" t="s">
        <v>37</v>
      </c>
      <c r="N15" s="167"/>
      <c r="O15" s="167" t="s">
        <v>38</v>
      </c>
      <c r="P15" s="173" t="s">
        <v>83</v>
      </c>
      <c r="Q15" s="167"/>
      <c r="R15" s="167"/>
      <c r="S15" s="179" t="s">
        <v>84</v>
      </c>
      <c r="T15" s="174" t="s">
        <v>85</v>
      </c>
      <c r="U15" s="175"/>
    </row>
    <row r="16" spans="1:37" ht="43.2">
      <c r="A16" s="163">
        <v>15</v>
      </c>
      <c r="B16" s="167"/>
      <c r="C16" s="167" t="s">
        <v>34</v>
      </c>
      <c r="D16" s="168">
        <v>44839</v>
      </c>
      <c r="E16" s="169" t="str">
        <f t="shared" si="0"/>
        <v>Oct/22</v>
      </c>
      <c r="F16" s="170">
        <f t="shared" ca="1" si="1"/>
        <v>233</v>
      </c>
      <c r="G16" s="167" t="str">
        <f t="shared" ca="1" si="2"/>
        <v>No</v>
      </c>
      <c r="H16" s="168" t="s">
        <v>35</v>
      </c>
      <c r="I16" s="168"/>
      <c r="J16" s="167" t="s">
        <v>86</v>
      </c>
      <c r="K16" s="177">
        <v>44874</v>
      </c>
      <c r="L16" s="170">
        <f ca="1">K16-'Do not delete'!$A$1</f>
        <v>-198</v>
      </c>
      <c r="M16" s="172" t="s">
        <v>37</v>
      </c>
      <c r="N16" s="167"/>
      <c r="O16" s="167" t="s">
        <v>38</v>
      </c>
      <c r="P16" s="167" t="s">
        <v>61</v>
      </c>
      <c r="Q16" s="167"/>
      <c r="R16" s="167"/>
      <c r="S16" s="173" t="s">
        <v>87</v>
      </c>
      <c r="T16" s="174" t="s">
        <v>88</v>
      </c>
      <c r="U16" s="175"/>
    </row>
    <row r="17" spans="1:23" ht="14.4">
      <c r="A17" s="163">
        <v>16</v>
      </c>
      <c r="B17" s="167"/>
      <c r="C17" s="167" t="s">
        <v>34</v>
      </c>
      <c r="D17" s="168">
        <v>44845</v>
      </c>
      <c r="E17" s="169" t="str">
        <f t="shared" si="0"/>
        <v>Oct/22</v>
      </c>
      <c r="F17" s="170">
        <f t="shared" ca="1" si="1"/>
        <v>227</v>
      </c>
      <c r="G17" s="167" t="str">
        <f t="shared" ca="1" si="2"/>
        <v>No</v>
      </c>
      <c r="H17" s="168" t="s">
        <v>35</v>
      </c>
      <c r="I17" s="168"/>
      <c r="J17" s="167" t="s">
        <v>89</v>
      </c>
      <c r="K17" s="168">
        <v>44883</v>
      </c>
      <c r="L17" s="170">
        <f ca="1">K17-'Do not delete'!$A$1</f>
        <v>-189</v>
      </c>
      <c r="M17" s="172" t="s">
        <v>37</v>
      </c>
      <c r="N17" s="167"/>
      <c r="O17" s="167" t="s">
        <v>38</v>
      </c>
      <c r="P17" s="167" t="s">
        <v>90</v>
      </c>
      <c r="Q17" s="181" t="s">
        <v>91</v>
      </c>
      <c r="R17" s="167"/>
      <c r="S17" s="173"/>
      <c r="T17" s="174" t="s">
        <v>92</v>
      </c>
      <c r="U17" s="175"/>
    </row>
    <row r="18" spans="1:23" ht="14.4">
      <c r="A18" s="163">
        <v>17</v>
      </c>
      <c r="B18" s="167"/>
      <c r="C18" s="167" t="s">
        <v>34</v>
      </c>
      <c r="D18" s="168">
        <v>44845</v>
      </c>
      <c r="E18" s="169" t="str">
        <f t="shared" si="0"/>
        <v>Oct/22</v>
      </c>
      <c r="F18" s="170">
        <f t="shared" ca="1" si="1"/>
        <v>227</v>
      </c>
      <c r="G18" s="167" t="str">
        <f t="shared" ca="1" si="2"/>
        <v>No</v>
      </c>
      <c r="H18" s="168" t="s">
        <v>35</v>
      </c>
      <c r="I18" s="168"/>
      <c r="J18" s="167" t="s">
        <v>93</v>
      </c>
      <c r="K18" s="168">
        <v>44895</v>
      </c>
      <c r="L18" s="170">
        <f ca="1">K18-'Do not delete'!$A$1</f>
        <v>-177</v>
      </c>
      <c r="M18" s="172" t="s">
        <v>53</v>
      </c>
      <c r="N18" s="167"/>
      <c r="O18" s="167" t="s">
        <v>53</v>
      </c>
      <c r="P18" s="167" t="s">
        <v>94</v>
      </c>
      <c r="Q18" s="174" t="s">
        <v>95</v>
      </c>
      <c r="R18" s="167"/>
      <c r="S18" s="173"/>
      <c r="T18" s="174" t="s">
        <v>96</v>
      </c>
      <c r="U18" s="175"/>
    </row>
    <row r="19" spans="1:23" ht="15" customHeight="1">
      <c r="A19" s="163">
        <v>18</v>
      </c>
      <c r="B19" s="167"/>
      <c r="C19" s="167" t="s">
        <v>34</v>
      </c>
      <c r="D19" s="168">
        <v>44854</v>
      </c>
      <c r="E19" s="169" t="str">
        <f t="shared" si="0"/>
        <v>Oct/22</v>
      </c>
      <c r="F19" s="170">
        <f t="shared" ca="1" si="1"/>
        <v>218</v>
      </c>
      <c r="G19" s="167" t="str">
        <f t="shared" ca="1" si="2"/>
        <v>No</v>
      </c>
      <c r="H19" s="167" t="s">
        <v>35</v>
      </c>
      <c r="I19" s="167"/>
      <c r="J19" s="167" t="s">
        <v>97</v>
      </c>
      <c r="K19" s="182">
        <v>44893</v>
      </c>
      <c r="L19" s="170">
        <f ca="1">K19-'Do not delete'!$A$1</f>
        <v>-179</v>
      </c>
      <c r="M19" s="172" t="s">
        <v>53</v>
      </c>
      <c r="N19" s="167"/>
      <c r="O19" s="167" t="s">
        <v>53</v>
      </c>
      <c r="P19" s="167" t="s">
        <v>98</v>
      </c>
      <c r="Q19" s="167" t="s">
        <v>99</v>
      </c>
      <c r="R19" s="173" t="s">
        <v>100</v>
      </c>
      <c r="S19" s="183"/>
      <c r="T19" s="184" t="s">
        <v>101</v>
      </c>
      <c r="U19" s="185"/>
      <c r="V19" s="185"/>
      <c r="W19" s="186"/>
    </row>
    <row r="20" spans="1:23" ht="15" customHeight="1">
      <c r="A20" s="163">
        <v>19</v>
      </c>
      <c r="B20" s="167"/>
      <c r="C20" s="167" t="s">
        <v>34</v>
      </c>
      <c r="D20" s="168">
        <v>44854</v>
      </c>
      <c r="E20" s="169" t="str">
        <f t="shared" si="0"/>
        <v>Oct/22</v>
      </c>
      <c r="F20" s="170">
        <f t="shared" ca="1" si="1"/>
        <v>218</v>
      </c>
      <c r="G20" s="167" t="str">
        <f t="shared" ca="1" si="2"/>
        <v>No</v>
      </c>
      <c r="H20" s="167" t="s">
        <v>35</v>
      </c>
      <c r="I20" s="167"/>
      <c r="J20" s="167" t="s">
        <v>102</v>
      </c>
      <c r="K20" s="182">
        <v>44887</v>
      </c>
      <c r="L20" s="170">
        <f ca="1">K20-'Do not delete'!$A$1</f>
        <v>-185</v>
      </c>
      <c r="M20" s="172" t="s">
        <v>53</v>
      </c>
      <c r="N20" s="167"/>
      <c r="O20" s="167" t="s">
        <v>53</v>
      </c>
      <c r="P20" s="167" t="s">
        <v>98</v>
      </c>
      <c r="Q20" s="167" t="s">
        <v>103</v>
      </c>
      <c r="R20" s="173"/>
      <c r="S20" s="183"/>
      <c r="T20" s="184"/>
      <c r="U20" s="187"/>
      <c r="V20" s="187"/>
      <c r="W20" s="187"/>
    </row>
    <row r="21" spans="1:23" ht="21.75" customHeight="1">
      <c r="A21" s="163">
        <v>19</v>
      </c>
      <c r="B21" s="167"/>
      <c r="C21" s="167" t="s">
        <v>34</v>
      </c>
      <c r="D21" s="168">
        <v>44870</v>
      </c>
      <c r="E21" s="169" t="str">
        <f t="shared" si="0"/>
        <v>Nov/22</v>
      </c>
      <c r="F21" s="170">
        <f t="shared" ca="1" si="1"/>
        <v>202</v>
      </c>
      <c r="G21" s="167" t="str">
        <f t="shared" ca="1" si="2"/>
        <v>No</v>
      </c>
      <c r="H21" s="167" t="s">
        <v>35</v>
      </c>
      <c r="I21" s="167"/>
      <c r="J21" s="173" t="s">
        <v>104</v>
      </c>
      <c r="K21" s="168">
        <v>44894</v>
      </c>
      <c r="L21" s="170">
        <f ca="1">K21-'Do not delete'!$A$1</f>
        <v>-178</v>
      </c>
      <c r="M21" s="172" t="s">
        <v>53</v>
      </c>
      <c r="N21" s="167"/>
      <c r="O21" s="167" t="s">
        <v>53</v>
      </c>
      <c r="P21" s="167" t="s">
        <v>98</v>
      </c>
      <c r="Q21" s="167" t="s">
        <v>105</v>
      </c>
      <c r="R21" s="167"/>
      <c r="S21" s="173" t="s">
        <v>106</v>
      </c>
      <c r="T21" s="174" t="s">
        <v>107</v>
      </c>
      <c r="U21" s="175"/>
    </row>
    <row r="22" spans="1:23" ht="28.8">
      <c r="A22" s="164">
        <v>20</v>
      </c>
      <c r="B22" s="189"/>
      <c r="C22" s="189" t="s">
        <v>34</v>
      </c>
      <c r="D22" s="191">
        <v>44877</v>
      </c>
      <c r="E22" s="217" t="str">
        <f t="shared" si="0"/>
        <v>Nov/22</v>
      </c>
      <c r="F22" s="193">
        <f t="shared" ca="1" si="1"/>
        <v>195</v>
      </c>
      <c r="G22" s="189" t="str">
        <f t="shared" ca="1" si="2"/>
        <v>No</v>
      </c>
      <c r="H22" s="189" t="s">
        <v>35</v>
      </c>
      <c r="I22" s="189"/>
      <c r="J22" s="192" t="s">
        <v>108</v>
      </c>
      <c r="K22" s="191">
        <v>44901</v>
      </c>
      <c r="L22" s="193">
        <f ca="1">K22-'Do not delete'!$A$1</f>
        <v>-171</v>
      </c>
      <c r="M22" s="194" t="s">
        <v>53</v>
      </c>
      <c r="N22" s="189"/>
      <c r="O22" s="189" t="s">
        <v>53</v>
      </c>
      <c r="P22" s="189" t="s">
        <v>109</v>
      </c>
      <c r="Q22" s="189" t="s">
        <v>110</v>
      </c>
      <c r="R22" s="189"/>
      <c r="S22" s="192"/>
      <c r="T22" s="165" t="s">
        <v>111</v>
      </c>
      <c r="U22" s="175"/>
    </row>
    <row r="23" spans="1:23" ht="28.8">
      <c r="A23" s="163">
        <v>21</v>
      </c>
      <c r="B23" s="167" t="s">
        <v>112</v>
      </c>
      <c r="C23" s="188" t="s">
        <v>113</v>
      </c>
      <c r="D23" s="168">
        <v>44883</v>
      </c>
      <c r="E23" s="169" t="str">
        <f t="shared" si="0"/>
        <v>Nov/22</v>
      </c>
      <c r="F23" s="170">
        <f t="shared" ca="1" si="1"/>
        <v>189</v>
      </c>
      <c r="G23" s="167" t="str">
        <f t="shared" ca="1" si="2"/>
        <v>No</v>
      </c>
      <c r="H23" s="167" t="s">
        <v>35</v>
      </c>
      <c r="I23" s="167" t="s">
        <v>114</v>
      </c>
      <c r="J23" s="167" t="s">
        <v>115</v>
      </c>
      <c r="K23" s="168">
        <v>44904</v>
      </c>
      <c r="L23" s="170">
        <f ca="1">K23-'Do not delete'!$A$1</f>
        <v>-168</v>
      </c>
      <c r="M23" s="172" t="s">
        <v>116</v>
      </c>
      <c r="N23" s="167"/>
      <c r="O23" s="167" t="s">
        <v>117</v>
      </c>
      <c r="P23" s="167"/>
      <c r="Q23" s="167"/>
      <c r="R23" s="167"/>
      <c r="S23" s="173"/>
      <c r="T23" s="174" t="s">
        <v>118</v>
      </c>
      <c r="U23" s="173" t="s">
        <v>119</v>
      </c>
    </row>
    <row r="24" spans="1:23" ht="14.4">
      <c r="A24" s="163">
        <v>22</v>
      </c>
      <c r="B24" s="167"/>
      <c r="C24" s="188" t="s">
        <v>34</v>
      </c>
      <c r="D24" s="168">
        <v>44883</v>
      </c>
      <c r="E24" s="169" t="str">
        <f t="shared" si="0"/>
        <v>Nov/22</v>
      </c>
      <c r="F24" s="170">
        <f t="shared" ca="1" si="1"/>
        <v>189</v>
      </c>
      <c r="G24" s="167" t="str">
        <f t="shared" ca="1" si="2"/>
        <v>No</v>
      </c>
      <c r="H24" s="167" t="s">
        <v>35</v>
      </c>
      <c r="I24" s="167"/>
      <c r="J24" s="167" t="s">
        <v>120</v>
      </c>
      <c r="K24" s="168">
        <v>44925</v>
      </c>
      <c r="L24" s="170">
        <f ca="1">K24-'Do not delete'!$A$1</f>
        <v>-147</v>
      </c>
      <c r="M24" s="172" t="s">
        <v>37</v>
      </c>
      <c r="N24" s="167"/>
      <c r="O24" s="167" t="s">
        <v>121</v>
      </c>
      <c r="P24" s="167" t="s">
        <v>67</v>
      </c>
      <c r="Q24" s="167" t="s">
        <v>122</v>
      </c>
      <c r="R24" s="167"/>
      <c r="S24" s="173"/>
      <c r="T24" s="167"/>
      <c r="U24" s="167"/>
    </row>
    <row r="25" spans="1:23" ht="43.2">
      <c r="A25" s="163">
        <v>23</v>
      </c>
      <c r="B25" s="167" t="s">
        <v>123</v>
      </c>
      <c r="C25" s="188" t="s">
        <v>5</v>
      </c>
      <c r="D25" s="168">
        <v>44889</v>
      </c>
      <c r="E25" s="169" t="str">
        <f t="shared" si="0"/>
        <v>Nov/22</v>
      </c>
      <c r="F25" s="170">
        <f t="shared" ca="1" si="1"/>
        <v>183</v>
      </c>
      <c r="G25" s="167" t="str">
        <f t="shared" ca="1" si="2"/>
        <v>No</v>
      </c>
      <c r="H25" s="167" t="s">
        <v>35</v>
      </c>
      <c r="I25" s="167" t="s">
        <v>7</v>
      </c>
      <c r="J25" s="167" t="s">
        <v>124</v>
      </c>
      <c r="K25" s="168">
        <v>44911</v>
      </c>
      <c r="L25" s="170">
        <f ca="1">K25-'Do not delete'!$A$1</f>
        <v>-161</v>
      </c>
      <c r="M25" s="172" t="s">
        <v>125</v>
      </c>
      <c r="N25" s="167"/>
      <c r="O25" s="167" t="s">
        <v>117</v>
      </c>
      <c r="P25" s="167"/>
      <c r="Q25" s="167" t="s">
        <v>126</v>
      </c>
      <c r="R25" s="167"/>
      <c r="S25" s="173"/>
      <c r="T25" s="174" t="s">
        <v>127</v>
      </c>
      <c r="U25" s="173" t="s">
        <v>8</v>
      </c>
    </row>
    <row r="26" spans="1:23" ht="14.4">
      <c r="A26" s="163">
        <v>24</v>
      </c>
      <c r="B26" s="167"/>
      <c r="C26" s="167" t="s">
        <v>34</v>
      </c>
      <c r="D26" s="168">
        <v>44889</v>
      </c>
      <c r="E26" s="169" t="str">
        <f t="shared" si="0"/>
        <v>Nov/22</v>
      </c>
      <c r="F26" s="170">
        <f t="shared" ca="1" si="1"/>
        <v>183</v>
      </c>
      <c r="G26" s="167" t="str">
        <f t="shared" ca="1" si="2"/>
        <v>No</v>
      </c>
      <c r="H26" s="167" t="s">
        <v>35</v>
      </c>
      <c r="I26" s="167"/>
      <c r="J26" s="167" t="s">
        <v>128</v>
      </c>
      <c r="K26" s="168">
        <v>44917</v>
      </c>
      <c r="L26" s="170">
        <f ca="1">K26-'Do not delete'!$A$1</f>
        <v>-155</v>
      </c>
      <c r="M26" s="172" t="s">
        <v>53</v>
      </c>
      <c r="N26" s="167"/>
      <c r="O26" s="167" t="s">
        <v>53</v>
      </c>
      <c r="P26" s="167" t="s">
        <v>48</v>
      </c>
      <c r="Q26" s="167" t="s">
        <v>129</v>
      </c>
      <c r="R26" s="167"/>
      <c r="S26" s="173"/>
      <c r="T26" s="174" t="s">
        <v>130</v>
      </c>
      <c r="U26" s="174" t="s">
        <v>131</v>
      </c>
    </row>
    <row r="27" spans="1:23" ht="63" customHeight="1">
      <c r="A27" s="163">
        <v>25</v>
      </c>
      <c r="B27" s="167"/>
      <c r="C27" s="167" t="s">
        <v>34</v>
      </c>
      <c r="D27" s="168">
        <v>44889</v>
      </c>
      <c r="E27" s="169" t="str">
        <f t="shared" si="0"/>
        <v>Nov/22</v>
      </c>
      <c r="F27" s="170">
        <f t="shared" ca="1" si="1"/>
        <v>183</v>
      </c>
      <c r="G27" s="167" t="str">
        <f t="shared" ca="1" si="2"/>
        <v>No</v>
      </c>
      <c r="H27" s="167" t="s">
        <v>35</v>
      </c>
      <c r="I27" s="167"/>
      <c r="J27" s="173" t="s">
        <v>132</v>
      </c>
      <c r="K27" s="168">
        <v>44908</v>
      </c>
      <c r="L27" s="170">
        <f ca="1">K27-'Do not delete'!$A$1</f>
        <v>-164</v>
      </c>
      <c r="M27" s="172" t="s">
        <v>53</v>
      </c>
      <c r="N27" s="167"/>
      <c r="O27" s="167" t="s">
        <v>53</v>
      </c>
      <c r="P27" s="167" t="s">
        <v>98</v>
      </c>
      <c r="Q27" s="167"/>
      <c r="R27" s="167"/>
      <c r="S27" s="173"/>
      <c r="T27" s="167"/>
      <c r="U27" s="167"/>
    </row>
    <row r="28" spans="1:23" ht="21" customHeight="1">
      <c r="A28" s="163">
        <v>26</v>
      </c>
      <c r="B28" s="167"/>
      <c r="C28" s="167" t="s">
        <v>34</v>
      </c>
      <c r="D28" s="168">
        <v>44889</v>
      </c>
      <c r="E28" s="169" t="str">
        <f t="shared" si="0"/>
        <v>Nov/22</v>
      </c>
      <c r="F28" s="170">
        <f t="shared" ca="1" si="1"/>
        <v>183</v>
      </c>
      <c r="G28" s="167" t="str">
        <f t="shared" ca="1" si="2"/>
        <v>No</v>
      </c>
      <c r="H28" s="167" t="s">
        <v>133</v>
      </c>
      <c r="I28" s="167"/>
      <c r="J28" s="167" t="s">
        <v>134</v>
      </c>
      <c r="K28" s="168">
        <v>44879</v>
      </c>
      <c r="L28" s="170">
        <f ca="1">K28-'Do not delete'!$A$1</f>
        <v>-193</v>
      </c>
      <c r="M28" s="172" t="s">
        <v>53</v>
      </c>
      <c r="N28" s="167"/>
      <c r="O28" s="167" t="s">
        <v>38</v>
      </c>
      <c r="P28" s="167" t="s">
        <v>67</v>
      </c>
      <c r="Q28" s="167"/>
      <c r="R28" s="167"/>
      <c r="S28" s="173"/>
      <c r="T28" s="167"/>
      <c r="U28" s="167"/>
    </row>
    <row r="29" spans="1:23" ht="14.4">
      <c r="A29" s="163">
        <v>32</v>
      </c>
      <c r="B29" s="167"/>
      <c r="C29" s="167" t="s">
        <v>34</v>
      </c>
      <c r="D29" s="168">
        <v>44900</v>
      </c>
      <c r="E29" s="169" t="str">
        <f t="shared" si="0"/>
        <v>Dec/22</v>
      </c>
      <c r="F29" s="170">
        <f t="shared" ca="1" si="1"/>
        <v>172</v>
      </c>
      <c r="G29" s="167" t="str">
        <f t="shared" ca="1" si="2"/>
        <v>No</v>
      </c>
      <c r="H29" s="167" t="s">
        <v>135</v>
      </c>
      <c r="I29" s="167"/>
      <c r="J29" s="167" t="s">
        <v>136</v>
      </c>
      <c r="K29" s="168">
        <v>44923</v>
      </c>
      <c r="L29" s="170">
        <f ca="1">K29-'Do not delete'!$A$1</f>
        <v>-149</v>
      </c>
      <c r="M29" s="172" t="s">
        <v>53</v>
      </c>
      <c r="N29" s="167"/>
      <c r="O29" s="167" t="s">
        <v>53</v>
      </c>
      <c r="P29" s="167" t="s">
        <v>61</v>
      </c>
      <c r="Q29" s="167"/>
      <c r="R29" s="167"/>
      <c r="S29" s="167" t="s">
        <v>137</v>
      </c>
      <c r="T29" s="174" t="s">
        <v>138</v>
      </c>
      <c r="U29" s="167"/>
    </row>
    <row r="30" spans="1:23" ht="57.6">
      <c r="A30" s="163">
        <v>33</v>
      </c>
      <c r="B30" s="167" t="s">
        <v>139</v>
      </c>
      <c r="C30" s="190" t="s">
        <v>140</v>
      </c>
      <c r="D30" s="168">
        <v>44905</v>
      </c>
      <c r="E30" s="169" t="str">
        <f t="shared" si="0"/>
        <v>Dec/22</v>
      </c>
      <c r="F30" s="170">
        <f t="shared" ca="1" si="1"/>
        <v>167</v>
      </c>
      <c r="G30" s="167" t="str">
        <f t="shared" ca="1" si="2"/>
        <v>No</v>
      </c>
      <c r="H30" s="167" t="s">
        <v>141</v>
      </c>
      <c r="I30" s="167" t="s">
        <v>142</v>
      </c>
      <c r="J30" s="173" t="s">
        <v>143</v>
      </c>
      <c r="K30" s="168">
        <v>44932</v>
      </c>
      <c r="L30" s="170">
        <f ca="1">K30-'Do not delete'!$A$1</f>
        <v>-140</v>
      </c>
      <c r="M30" s="172" t="s">
        <v>117</v>
      </c>
      <c r="N30" s="167" t="s">
        <v>144</v>
      </c>
      <c r="O30" s="167" t="s">
        <v>117</v>
      </c>
      <c r="P30" s="167"/>
      <c r="Q30" s="167"/>
      <c r="R30" s="167"/>
      <c r="S30" s="173"/>
      <c r="T30" s="167"/>
      <c r="U30" s="173" t="s">
        <v>145</v>
      </c>
    </row>
    <row r="31" spans="1:23" ht="86.4">
      <c r="A31" s="163">
        <v>34</v>
      </c>
      <c r="B31" s="167"/>
      <c r="C31" s="167" t="s">
        <v>34</v>
      </c>
      <c r="D31" s="168">
        <v>44914</v>
      </c>
      <c r="E31" s="169" t="str">
        <f t="shared" si="0"/>
        <v>Dec/22</v>
      </c>
      <c r="F31" s="170">
        <f t="shared" ca="1" si="1"/>
        <v>158</v>
      </c>
      <c r="G31" s="167" t="str">
        <f t="shared" ca="1" si="2"/>
        <v>No</v>
      </c>
      <c r="H31" s="173" t="s">
        <v>146</v>
      </c>
      <c r="I31" s="173"/>
      <c r="J31" s="195" t="s">
        <v>147</v>
      </c>
      <c r="K31" s="168">
        <v>44943</v>
      </c>
      <c r="L31" s="170">
        <f ca="1">K31-'Do not delete'!$A$1</f>
        <v>-129</v>
      </c>
      <c r="M31" s="172" t="s">
        <v>53</v>
      </c>
      <c r="N31" s="167"/>
      <c r="O31" s="167" t="s">
        <v>53</v>
      </c>
      <c r="P31" s="167" t="s">
        <v>148</v>
      </c>
      <c r="Q31" s="167"/>
      <c r="R31" s="167"/>
      <c r="S31" s="173" t="s">
        <v>149</v>
      </c>
      <c r="T31" s="174" t="s">
        <v>150</v>
      </c>
      <c r="U31" s="167"/>
    </row>
    <row r="32" spans="1:23" s="167" customFormat="1" ht="92.25" customHeight="1">
      <c r="A32" s="163">
        <v>35</v>
      </c>
      <c r="B32" s="167" t="s">
        <v>151</v>
      </c>
      <c r="C32" s="167" t="s">
        <v>34</v>
      </c>
      <c r="D32" s="168">
        <v>44922</v>
      </c>
      <c r="E32" s="169" t="str">
        <f t="shared" si="0"/>
        <v>Dec/22</v>
      </c>
      <c r="F32" s="170">
        <f t="shared" ca="1" si="1"/>
        <v>150</v>
      </c>
      <c r="G32" s="167" t="str">
        <f t="shared" ca="1" si="2"/>
        <v>No</v>
      </c>
      <c r="H32" s="167" t="s">
        <v>152</v>
      </c>
      <c r="J32" s="173" t="s">
        <v>153</v>
      </c>
      <c r="K32" s="168">
        <v>44940</v>
      </c>
      <c r="L32" s="170">
        <f ca="1">K32-'Do not delete'!$A$1</f>
        <v>-132</v>
      </c>
      <c r="M32" s="172" t="s">
        <v>37</v>
      </c>
      <c r="N32" s="167" t="s">
        <v>144</v>
      </c>
      <c r="O32" s="167" t="s">
        <v>38</v>
      </c>
      <c r="P32" s="167" t="s">
        <v>154</v>
      </c>
      <c r="S32" s="173" t="s">
        <v>155</v>
      </c>
      <c r="T32" s="174" t="s">
        <v>156</v>
      </c>
      <c r="V32" s="196"/>
    </row>
    <row r="33" spans="1:25" ht="58.5" customHeight="1">
      <c r="A33" s="163">
        <v>36</v>
      </c>
      <c r="B33" s="167" t="s">
        <v>157</v>
      </c>
      <c r="C33" s="167" t="s">
        <v>34</v>
      </c>
      <c r="D33" s="168">
        <v>44922</v>
      </c>
      <c r="E33" s="169" t="str">
        <f t="shared" si="0"/>
        <v>Dec/22</v>
      </c>
      <c r="F33" s="170">
        <f t="shared" ca="1" si="1"/>
        <v>150</v>
      </c>
      <c r="G33" s="167" t="str">
        <f t="shared" ca="1" si="2"/>
        <v>No</v>
      </c>
      <c r="H33" s="173" t="s">
        <v>146</v>
      </c>
      <c r="I33" s="173"/>
      <c r="J33" s="173" t="s">
        <v>158</v>
      </c>
      <c r="K33" s="168">
        <v>44937</v>
      </c>
      <c r="L33" s="170">
        <f ca="1">K33-'Do not delete'!$A$1</f>
        <v>-135</v>
      </c>
      <c r="M33" s="172" t="s">
        <v>53</v>
      </c>
      <c r="N33" s="167"/>
      <c r="O33" s="167" t="s">
        <v>53</v>
      </c>
      <c r="P33" s="167" t="s">
        <v>148</v>
      </c>
      <c r="Q33" s="167"/>
      <c r="R33" s="167"/>
      <c r="S33" s="173" t="s">
        <v>159</v>
      </c>
      <c r="T33" s="174" t="s">
        <v>160</v>
      </c>
      <c r="U33" s="167"/>
    </row>
    <row r="34" spans="1:25" ht="65.25" customHeight="1">
      <c r="A34" s="163">
        <v>37</v>
      </c>
      <c r="B34" s="248" t="s">
        <v>161</v>
      </c>
      <c r="C34" s="167" t="s">
        <v>34</v>
      </c>
      <c r="D34" s="168">
        <v>44924</v>
      </c>
      <c r="E34" s="169" t="str">
        <f t="shared" si="0"/>
        <v>Dec/22</v>
      </c>
      <c r="F34" s="170">
        <f t="shared" ca="1" si="1"/>
        <v>148</v>
      </c>
      <c r="G34" s="167" t="str">
        <f t="shared" ca="1" si="2"/>
        <v>No</v>
      </c>
      <c r="H34" s="173" t="s">
        <v>162</v>
      </c>
      <c r="I34" s="173"/>
      <c r="J34" s="173" t="s">
        <v>163</v>
      </c>
      <c r="K34" s="168">
        <v>44935</v>
      </c>
      <c r="L34" s="170">
        <f ca="1">K34-'Do not delete'!$A$1</f>
        <v>-137</v>
      </c>
      <c r="M34" s="172" t="s">
        <v>37</v>
      </c>
      <c r="N34" s="167"/>
      <c r="O34" s="173" t="s">
        <v>53</v>
      </c>
      <c r="P34" s="167" t="s">
        <v>164</v>
      </c>
      <c r="Q34" s="167"/>
      <c r="R34" s="167"/>
      <c r="S34" s="195"/>
      <c r="T34" s="174"/>
      <c r="U34" s="167"/>
      <c r="V34" s="196"/>
      <c r="W34" s="167"/>
      <c r="X34" s="167"/>
      <c r="Y34" s="167"/>
    </row>
    <row r="35" spans="1:25" ht="43.2">
      <c r="A35" s="163">
        <v>38</v>
      </c>
      <c r="B35" s="248" t="s">
        <v>0</v>
      </c>
      <c r="C35" s="292" t="s">
        <v>6</v>
      </c>
      <c r="D35" s="168">
        <v>44932</v>
      </c>
      <c r="E35" s="169" t="str">
        <f t="shared" si="0"/>
        <v>Jan/23</v>
      </c>
      <c r="F35" s="170">
        <f t="shared" ca="1" si="1"/>
        <v>140</v>
      </c>
      <c r="G35" s="167" t="str">
        <f t="shared" ca="1" si="2"/>
        <v>No</v>
      </c>
      <c r="H35" s="173" t="s">
        <v>165</v>
      </c>
      <c r="I35" s="173" t="s">
        <v>9</v>
      </c>
      <c r="J35" s="173" t="s">
        <v>166</v>
      </c>
      <c r="K35" s="168">
        <v>44985</v>
      </c>
      <c r="L35" s="170">
        <f ca="1">K35-'Do not delete'!$A$1</f>
        <v>-87</v>
      </c>
      <c r="M35" s="172" t="s">
        <v>117</v>
      </c>
      <c r="N35" s="167"/>
      <c r="O35" s="167" t="s">
        <v>117</v>
      </c>
      <c r="P35" s="167"/>
      <c r="Q35" s="167"/>
      <c r="R35" s="167"/>
      <c r="S35" s="173"/>
      <c r="T35" s="174" t="s">
        <v>160</v>
      </c>
      <c r="U35" s="173" t="s">
        <v>10</v>
      </c>
    </row>
    <row r="36" spans="1:25" ht="54" customHeight="1">
      <c r="A36" s="163">
        <v>39</v>
      </c>
      <c r="B36" s="173" t="s">
        <v>167</v>
      </c>
      <c r="C36" s="167" t="s">
        <v>34</v>
      </c>
      <c r="D36" s="168">
        <v>44951</v>
      </c>
      <c r="E36" s="169" t="str">
        <f t="shared" ref="E36:E49" si="3">TEXT(D36,"mmm/yy")</f>
        <v>Jan/23</v>
      </c>
      <c r="F36" s="170">
        <f t="shared" ca="1" si="1"/>
        <v>121</v>
      </c>
      <c r="G36" s="167" t="str">
        <f t="shared" ca="1" si="2"/>
        <v>No</v>
      </c>
      <c r="H36" s="173" t="s">
        <v>165</v>
      </c>
      <c r="I36" s="167" t="s">
        <v>168</v>
      </c>
      <c r="J36" s="173" t="s">
        <v>169</v>
      </c>
      <c r="K36" s="168">
        <v>44979</v>
      </c>
      <c r="L36" s="170">
        <f ca="1">K36-'Do not delete'!$A$1</f>
        <v>-93</v>
      </c>
      <c r="M36" s="172" t="s">
        <v>53</v>
      </c>
      <c r="N36" s="167"/>
      <c r="O36" s="167" t="s">
        <v>53</v>
      </c>
      <c r="P36" s="167" t="s">
        <v>170</v>
      </c>
      <c r="Q36" s="173" t="s">
        <v>171</v>
      </c>
      <c r="R36" s="167"/>
      <c r="S36" s="173" t="s">
        <v>172</v>
      </c>
      <c r="T36" s="174" t="s">
        <v>160</v>
      </c>
      <c r="U36" s="173" t="s">
        <v>173</v>
      </c>
    </row>
    <row r="37" spans="1:25" s="189" customFormat="1" ht="65.25" customHeight="1">
      <c r="A37" s="163">
        <v>40</v>
      </c>
      <c r="B37" s="167" t="s">
        <v>174</v>
      </c>
      <c r="C37" s="167" t="s">
        <v>34</v>
      </c>
      <c r="D37" s="168">
        <v>44951</v>
      </c>
      <c r="E37" s="169" t="str">
        <f t="shared" si="3"/>
        <v>Jan/23</v>
      </c>
      <c r="F37" s="170">
        <f t="shared" ca="1" si="1"/>
        <v>121</v>
      </c>
      <c r="G37" s="167" t="str">
        <f t="shared" ca="1" si="2"/>
        <v>No</v>
      </c>
      <c r="H37" s="167" t="s">
        <v>35</v>
      </c>
      <c r="I37" s="167" t="s">
        <v>175</v>
      </c>
      <c r="J37" s="173" t="s">
        <v>176</v>
      </c>
      <c r="K37" s="168">
        <v>44991</v>
      </c>
      <c r="L37" s="170">
        <f ca="1">K37-'Do not delete'!$A$1</f>
        <v>-81</v>
      </c>
      <c r="M37" s="172" t="s">
        <v>53</v>
      </c>
      <c r="N37" s="167"/>
      <c r="O37" s="167" t="s">
        <v>53</v>
      </c>
      <c r="P37" s="167" t="s">
        <v>44</v>
      </c>
      <c r="Q37" s="167"/>
      <c r="R37" s="167"/>
      <c r="S37" s="173"/>
      <c r="T37" s="174" t="s">
        <v>160</v>
      </c>
      <c r="U37" s="173" t="s">
        <v>177</v>
      </c>
      <c r="V37" s="175"/>
      <c r="W37" s="197"/>
    </row>
    <row r="38" spans="1:25" s="167" customFormat="1" ht="43.2">
      <c r="A38" s="163">
        <v>41</v>
      </c>
      <c r="B38" s="271" t="s">
        <v>178</v>
      </c>
      <c r="C38" s="189" t="s">
        <v>34</v>
      </c>
      <c r="D38" s="191">
        <v>44964</v>
      </c>
      <c r="E38" s="217" t="str">
        <f t="shared" si="3"/>
        <v>Feb/23</v>
      </c>
      <c r="F38" s="193">
        <f t="shared" ca="1" si="1"/>
        <v>108</v>
      </c>
      <c r="G38" s="189" t="str">
        <f t="shared" ca="1" si="2"/>
        <v>No</v>
      </c>
      <c r="H38" s="192" t="s">
        <v>146</v>
      </c>
      <c r="I38" s="189" t="s">
        <v>179</v>
      </c>
      <c r="J38" s="192" t="s">
        <v>180</v>
      </c>
      <c r="K38" s="191">
        <v>44985</v>
      </c>
      <c r="L38" s="193">
        <f ca="1">K38-'Do not delete'!$A$1</f>
        <v>-87</v>
      </c>
      <c r="M38" s="194" t="s">
        <v>181</v>
      </c>
      <c r="N38" s="189"/>
      <c r="O38" s="189" t="s">
        <v>182</v>
      </c>
      <c r="P38" s="189" t="s">
        <v>61</v>
      </c>
      <c r="Q38" s="189"/>
      <c r="R38" s="189"/>
      <c r="S38" s="192"/>
      <c r="T38" s="165" t="s">
        <v>160</v>
      </c>
      <c r="U38" s="192" t="s">
        <v>183</v>
      </c>
      <c r="V38" s="196"/>
    </row>
    <row r="39" spans="1:25" ht="46.5" customHeight="1">
      <c r="A39" s="270">
        <v>42</v>
      </c>
      <c r="B39" s="173" t="s">
        <v>184</v>
      </c>
      <c r="C39" s="167" t="s">
        <v>34</v>
      </c>
      <c r="D39" s="168">
        <v>44966</v>
      </c>
      <c r="E39" s="169" t="str">
        <f t="shared" si="3"/>
        <v>Feb/23</v>
      </c>
      <c r="F39" s="170">
        <f t="shared" ca="1" si="1"/>
        <v>106</v>
      </c>
      <c r="G39" s="167" t="str">
        <f t="shared" ca="1" si="2"/>
        <v>No</v>
      </c>
      <c r="H39" s="167" t="s">
        <v>35</v>
      </c>
      <c r="I39" s="167" t="s">
        <v>185</v>
      </c>
      <c r="J39" s="173" t="s">
        <v>186</v>
      </c>
      <c r="K39" s="168">
        <v>44984</v>
      </c>
      <c r="L39" s="170">
        <f ca="1">K39-'Do not delete'!$A$1</f>
        <v>-88</v>
      </c>
      <c r="M39" s="172" t="s">
        <v>53</v>
      </c>
      <c r="N39" s="167"/>
      <c r="O39" s="167" t="s">
        <v>53</v>
      </c>
      <c r="P39" s="167" t="s">
        <v>98</v>
      </c>
      <c r="Q39" s="167"/>
      <c r="R39" s="167"/>
      <c r="S39" s="173"/>
      <c r="T39" s="174" t="s">
        <v>160</v>
      </c>
      <c r="U39" s="173" t="s">
        <v>187</v>
      </c>
    </row>
    <row r="40" spans="1:25" ht="14.4">
      <c r="A40" s="166">
        <v>43</v>
      </c>
      <c r="B40" s="268" t="s">
        <v>188</v>
      </c>
      <c r="C40" s="167" t="s">
        <v>34</v>
      </c>
      <c r="D40" s="168">
        <v>44972</v>
      </c>
      <c r="E40" s="169" t="str">
        <f t="shared" si="3"/>
        <v>Feb/23</v>
      </c>
      <c r="F40" s="170">
        <f t="shared" ca="1" si="1"/>
        <v>100</v>
      </c>
      <c r="G40" s="167" t="s">
        <v>253</v>
      </c>
      <c r="H40" s="167" t="s">
        <v>189</v>
      </c>
      <c r="I40" s="167" t="s">
        <v>190</v>
      </c>
      <c r="J40" s="269" t="s">
        <v>191</v>
      </c>
      <c r="K40" s="168">
        <v>44986</v>
      </c>
      <c r="L40" s="170">
        <f ca="1">K40-'Do not delete'!$A$1</f>
        <v>-86</v>
      </c>
      <c r="M40" s="172" t="s">
        <v>53</v>
      </c>
      <c r="N40" s="167"/>
      <c r="O40" s="167" t="s">
        <v>53</v>
      </c>
      <c r="P40" s="167" t="s">
        <v>98</v>
      </c>
      <c r="Q40" s="167"/>
      <c r="R40" s="167"/>
      <c r="S40" s="173"/>
      <c r="T40" s="174" t="s">
        <v>160</v>
      </c>
      <c r="U40" s="173"/>
    </row>
    <row r="41" spans="1:25" ht="14.4">
      <c r="A41" s="166">
        <v>44</v>
      </c>
      <c r="B41" s="268" t="s">
        <v>192</v>
      </c>
      <c r="C41" s="167" t="s">
        <v>34</v>
      </c>
      <c r="D41" s="168">
        <v>44977</v>
      </c>
      <c r="E41" s="169" t="str">
        <f t="shared" si="3"/>
        <v>Feb/23</v>
      </c>
      <c r="F41" s="170">
        <f t="shared" ca="1" si="1"/>
        <v>95</v>
      </c>
      <c r="G41" s="167" t="s">
        <v>253</v>
      </c>
      <c r="H41" s="167" t="s">
        <v>35</v>
      </c>
      <c r="I41" s="167" t="s">
        <v>193</v>
      </c>
      <c r="J41" s="167" t="s">
        <v>194</v>
      </c>
      <c r="K41" s="168">
        <v>44994</v>
      </c>
      <c r="L41" s="170">
        <f ca="1">K41-'Do not delete'!$A$1</f>
        <v>-78</v>
      </c>
      <c r="M41" s="172" t="s">
        <v>53</v>
      </c>
      <c r="N41" s="167"/>
      <c r="O41" s="167" t="s">
        <v>53</v>
      </c>
      <c r="P41" s="167" t="s">
        <v>61</v>
      </c>
      <c r="Q41" s="167"/>
      <c r="R41" s="167"/>
      <c r="S41" s="173"/>
      <c r="T41" s="174" t="s">
        <v>160</v>
      </c>
      <c r="U41" s="173" t="s">
        <v>195</v>
      </c>
    </row>
    <row r="42" spans="1:25" ht="14.4">
      <c r="A42" s="166">
        <v>45</v>
      </c>
      <c r="B42" s="167" t="s">
        <v>196</v>
      </c>
      <c r="C42" s="167" t="s">
        <v>34</v>
      </c>
      <c r="D42" s="168">
        <v>44984</v>
      </c>
      <c r="E42" s="169" t="str">
        <f t="shared" si="3"/>
        <v>Feb/23</v>
      </c>
      <c r="F42" s="170">
        <f t="shared" ca="1" si="1"/>
        <v>88</v>
      </c>
      <c r="G42" s="167" t="s">
        <v>253</v>
      </c>
      <c r="H42" s="167" t="s">
        <v>35</v>
      </c>
      <c r="I42" s="167" t="s">
        <v>197</v>
      </c>
      <c r="J42" s="167" t="s">
        <v>198</v>
      </c>
      <c r="K42" s="168">
        <v>45000</v>
      </c>
      <c r="L42" s="170">
        <f ca="1">K42-'Do not delete'!$A$1</f>
        <v>-72</v>
      </c>
      <c r="M42" s="172" t="s">
        <v>53</v>
      </c>
      <c r="N42" s="167"/>
      <c r="O42" s="167" t="s">
        <v>53</v>
      </c>
      <c r="P42" s="167" t="s">
        <v>148</v>
      </c>
      <c r="Q42" s="167"/>
      <c r="R42" s="167"/>
      <c r="S42" s="173"/>
      <c r="T42" s="174" t="s">
        <v>160</v>
      </c>
      <c r="U42" s="173" t="s">
        <v>199</v>
      </c>
    </row>
    <row r="43" spans="1:25" ht="28.8">
      <c r="A43" s="166">
        <v>46</v>
      </c>
      <c r="B43" s="175" t="s">
        <v>200</v>
      </c>
      <c r="C43" s="175" t="s">
        <v>5</v>
      </c>
      <c r="D43" s="198">
        <v>44991</v>
      </c>
      <c r="E43" s="199" t="str">
        <f t="shared" si="3"/>
        <v>Mar/23</v>
      </c>
      <c r="F43" s="170">
        <f t="shared" ca="1" si="1"/>
        <v>81</v>
      </c>
      <c r="G43" s="175" t="s">
        <v>253</v>
      </c>
      <c r="H43" s="175" t="s">
        <v>202</v>
      </c>
      <c r="I43" s="175" t="s">
        <v>203</v>
      </c>
      <c r="J43" s="175" t="s">
        <v>204</v>
      </c>
      <c r="K43" s="198">
        <v>45012</v>
      </c>
      <c r="L43" s="170">
        <f ca="1">K43-'Do not delete'!$A$1</f>
        <v>-60</v>
      </c>
      <c r="M43" s="200" t="s">
        <v>117</v>
      </c>
      <c r="O43" s="175" t="s">
        <v>117</v>
      </c>
      <c r="P43" s="175" t="s">
        <v>117</v>
      </c>
      <c r="T43" s="178" t="s">
        <v>160</v>
      </c>
      <c r="U43" s="113" t="s">
        <v>205</v>
      </c>
    </row>
    <row r="44" spans="1:25" ht="14.4">
      <c r="A44" s="166">
        <v>49</v>
      </c>
      <c r="B44" s="283" t="s">
        <v>206</v>
      </c>
      <c r="C44" s="175" t="s">
        <v>34</v>
      </c>
      <c r="D44" s="198">
        <v>44995</v>
      </c>
      <c r="E44" s="199" t="str">
        <f t="shared" si="3"/>
        <v>Mar/23</v>
      </c>
      <c r="F44" s="170">
        <f t="shared" ca="1" si="1"/>
        <v>77</v>
      </c>
      <c r="G44" s="175" t="s">
        <v>253</v>
      </c>
      <c r="H44" s="175" t="s">
        <v>35</v>
      </c>
      <c r="I44" s="175" t="s">
        <v>207</v>
      </c>
      <c r="J44" s="175" t="s">
        <v>208</v>
      </c>
      <c r="K44" s="198">
        <v>45013</v>
      </c>
      <c r="L44" s="170">
        <f ca="1">K44-'Do not delete'!$A$1</f>
        <v>-59</v>
      </c>
      <c r="M44" s="200" t="s">
        <v>53</v>
      </c>
      <c r="O44" s="175" t="s">
        <v>53</v>
      </c>
      <c r="P44" s="175" t="s">
        <v>61</v>
      </c>
      <c r="T44" s="178" t="s">
        <v>160</v>
      </c>
    </row>
    <row r="45" spans="1:25" ht="28.8">
      <c r="A45" s="166">
        <v>50</v>
      </c>
      <c r="B45" s="283" t="s">
        <v>209</v>
      </c>
      <c r="C45" s="175" t="s">
        <v>34</v>
      </c>
      <c r="D45" s="198">
        <v>44998</v>
      </c>
      <c r="E45" s="199" t="str">
        <f t="shared" si="3"/>
        <v>Mar/23</v>
      </c>
      <c r="F45" s="170">
        <f t="shared" ca="1" si="1"/>
        <v>74</v>
      </c>
      <c r="G45" s="175" t="s">
        <v>253</v>
      </c>
      <c r="H45" s="175" t="s">
        <v>35</v>
      </c>
      <c r="I45" s="175" t="s">
        <v>210</v>
      </c>
      <c r="J45" s="113" t="s">
        <v>211</v>
      </c>
      <c r="K45" s="198">
        <v>45013</v>
      </c>
      <c r="L45" s="170">
        <f ca="1">K45-'Do not delete'!$A$1</f>
        <v>-59</v>
      </c>
      <c r="M45" s="200" t="s">
        <v>53</v>
      </c>
      <c r="O45" s="175" t="s">
        <v>53</v>
      </c>
      <c r="P45" s="175" t="s">
        <v>67</v>
      </c>
      <c r="T45" s="178" t="s">
        <v>160</v>
      </c>
    </row>
    <row r="46" spans="1:25" ht="14.4">
      <c r="A46" s="166">
        <v>51</v>
      </c>
      <c r="B46" s="175" t="s">
        <v>212</v>
      </c>
      <c r="C46" s="175" t="s">
        <v>34</v>
      </c>
      <c r="D46" s="198">
        <v>45013</v>
      </c>
      <c r="E46" s="199" t="str">
        <f t="shared" si="3"/>
        <v>Mar/23</v>
      </c>
      <c r="F46" s="170">
        <f t="shared" ca="1" si="1"/>
        <v>59</v>
      </c>
      <c r="G46" s="175" t="s">
        <v>253</v>
      </c>
      <c r="H46" s="175" t="s">
        <v>213</v>
      </c>
      <c r="I46" s="175" t="s">
        <v>214</v>
      </c>
      <c r="J46" s="175" t="s">
        <v>215</v>
      </c>
      <c r="K46" s="198">
        <v>45037</v>
      </c>
      <c r="L46" s="170">
        <f ca="1">K46-'Do not delete'!$A$1</f>
        <v>-35</v>
      </c>
      <c r="M46" s="200" t="s">
        <v>53</v>
      </c>
      <c r="O46" s="175" t="s">
        <v>53</v>
      </c>
      <c r="P46" s="175" t="s">
        <v>154</v>
      </c>
      <c r="T46" s="178" t="s">
        <v>160</v>
      </c>
    </row>
    <row r="47" spans="1:25" ht="43.2">
      <c r="A47" s="166">
        <v>52</v>
      </c>
      <c r="B47" s="175" t="s">
        <v>216</v>
      </c>
      <c r="C47" s="175" t="s">
        <v>34</v>
      </c>
      <c r="D47" s="198">
        <v>45024</v>
      </c>
      <c r="E47" s="199" t="str">
        <f t="shared" si="3"/>
        <v>Apr/23</v>
      </c>
      <c r="F47" s="201">
        <v>14</v>
      </c>
      <c r="G47" s="175" t="s">
        <v>144</v>
      </c>
      <c r="H47" s="175" t="s">
        <v>35</v>
      </c>
      <c r="I47" s="175" t="s">
        <v>11</v>
      </c>
      <c r="J47" s="175" t="s">
        <v>217</v>
      </c>
      <c r="K47" s="198">
        <v>45037</v>
      </c>
      <c r="L47" s="201">
        <v>14</v>
      </c>
      <c r="M47" s="200" t="s">
        <v>218</v>
      </c>
      <c r="O47" s="175" t="s">
        <v>182</v>
      </c>
      <c r="P47" s="175" t="s">
        <v>154</v>
      </c>
      <c r="T47" s="178" t="s">
        <v>160</v>
      </c>
      <c r="U47" s="113" t="s">
        <v>219</v>
      </c>
    </row>
    <row r="48" spans="1:25" ht="15" customHeight="1">
      <c r="A48" s="166">
        <v>53</v>
      </c>
      <c r="B48" s="175" t="s">
        <v>220</v>
      </c>
      <c r="C48" s="175" t="s">
        <v>34</v>
      </c>
      <c r="D48" s="198">
        <v>45040</v>
      </c>
      <c r="E48" s="199" t="str">
        <f t="shared" si="3"/>
        <v>Apr/23</v>
      </c>
      <c r="F48" s="201">
        <v>16</v>
      </c>
      <c r="G48" s="175" t="s">
        <v>144</v>
      </c>
      <c r="H48" s="175" t="s">
        <v>35</v>
      </c>
      <c r="I48" s="175" t="s">
        <v>221</v>
      </c>
      <c r="J48" s="175" t="s">
        <v>222</v>
      </c>
      <c r="K48" s="198">
        <v>45055</v>
      </c>
      <c r="L48" s="201">
        <v>16</v>
      </c>
      <c r="M48" s="200" t="s">
        <v>53</v>
      </c>
      <c r="P48" s="175" t="s">
        <v>154</v>
      </c>
      <c r="T48" s="178" t="s">
        <v>160</v>
      </c>
      <c r="U48" s="113" t="s">
        <v>223</v>
      </c>
    </row>
    <row r="49" spans="1:20" ht="15" customHeight="1">
      <c r="A49" s="166">
        <v>54</v>
      </c>
      <c r="B49" s="175" t="s">
        <v>224</v>
      </c>
      <c r="C49" s="175" t="s">
        <v>4</v>
      </c>
      <c r="D49" s="198">
        <v>45061</v>
      </c>
      <c r="E49" s="199" t="str">
        <f t="shared" si="3"/>
        <v>May/23</v>
      </c>
      <c r="F49" s="201">
        <v>15</v>
      </c>
      <c r="G49" s="175" t="s">
        <v>144</v>
      </c>
      <c r="H49" s="175" t="s">
        <v>165</v>
      </c>
      <c r="I49" s="175" t="s">
        <v>225</v>
      </c>
      <c r="J49" s="175" t="s">
        <v>226</v>
      </c>
      <c r="K49" s="198">
        <v>45077</v>
      </c>
      <c r="L49" s="201">
        <v>15</v>
      </c>
      <c r="T49" s="178" t="s">
        <v>160</v>
      </c>
    </row>
  </sheetData>
  <conditionalFormatting sqref="O2">
    <cfRule type="cellIs" dxfId="516" priority="4" operator="equal">
      <formula>"Do not qualify"</formula>
    </cfRule>
  </conditionalFormatting>
  <conditionalFormatting sqref="O1:O1048576">
    <cfRule type="containsText" dxfId="515" priority="3" operator="containsText" text="Do not qualify">
      <formula>NOT(ISERROR(SEARCH("Do not qualify",O1)))</formula>
    </cfRule>
  </conditionalFormatting>
  <conditionalFormatting sqref="C2:C1048576">
    <cfRule type="beginsWith" dxfId="514" priority="2" operator="beginsWith" text="Active">
      <formula>LEFT(C2,LEN("Active"))="Active"</formula>
    </cfRule>
  </conditionalFormatting>
  <conditionalFormatting sqref="C2:C82">
    <cfRule type="beginsWith" dxfId="513" priority="1" operator="beginsWith" text="In">
      <formula>LEFT(C2,LEN("In"))="In"</formula>
    </cfRule>
  </conditionalFormatting>
  <conditionalFormatting sqref="L1:L1048576">
    <cfRule type="cellIs" dxfId="512" priority="5" operator="lessThan">
      <formula>15</formula>
    </cfRule>
  </conditionalFormatting>
  <dataValidations count="2">
    <dataValidation allowBlank="1" showInputMessage="1" showErrorMessage="1" sqref="S1:S33 S35:S1048576" xr:uid="{00000000-0002-0000-0500-000000000000}"/>
    <dataValidation type="list" allowBlank="1" showInputMessage="1" showErrorMessage="1" sqref="N2:N46" xr:uid="{00000000-0002-0000-0500-000001000000}">
      <formula1>"Yes, No"</formula1>
    </dataValidation>
  </dataValidations>
  <hyperlinks>
    <hyperlink ref="T3" r:id="rId1" display="../../../:w:/g/personal/aman_kbansal_geminisolutions_com/EQS60yGoHgdGro1hJ6Dw0PQBK3GNx3BWZCTBrMNMCG66jg?e=RNgi7g" xr:uid="{00000000-0004-0000-0500-000000000000}"/>
    <hyperlink ref="T4" r:id="rId2" display="../../../:w:/g/personal/aman_kbansal_geminisolutions_com/EeIWkOnw-95HoHZG3Q1Us6IB5FBHI6J1RzWb0-UCEqnyMw?e=bgOI7T" xr:uid="{00000000-0004-0000-0500-000001000000}"/>
    <hyperlink ref="T5" r:id="rId3" display="..\..\..\:b:\g\personal\aman_kbansal_geminisolutions_com\EZZkShRFnOhPi0GQV05x8AcBEpsq9BWCMHko0oX3KZDp7w?e=ODOD1U" xr:uid="{00000000-0004-0000-0500-000002000000}"/>
    <hyperlink ref="T6" r:id="rId4" display="../../../:i:/g/personal/aman_kbansal_geminisolutions_com/EX-8NFPzxCpBlFuWT7DAHHcBNL_adAlkw5h5Wh1N24fN1A?e=T65or0" xr:uid="{00000000-0004-0000-0500-000003000000}"/>
    <hyperlink ref="T2" r:id="rId5" xr:uid="{00000000-0004-0000-0500-000004000000}"/>
    <hyperlink ref="T7" r:id="rId6" xr:uid="{00000000-0004-0000-0500-000005000000}"/>
    <hyperlink ref="T8" r:id="rId7" xr:uid="{00000000-0004-0000-0500-000006000000}"/>
    <hyperlink ref="T9" r:id="rId8" xr:uid="{00000000-0004-0000-0500-000007000000}"/>
    <hyperlink ref="T10" r:id="rId9" xr:uid="{00000000-0004-0000-0500-000008000000}"/>
    <hyperlink ref="T11" r:id="rId10" xr:uid="{00000000-0004-0000-0500-000009000000}"/>
    <hyperlink ref="T12" r:id="rId11" xr:uid="{00000000-0004-0000-0500-00000A000000}"/>
    <hyperlink ref="T13" r:id="rId12" xr:uid="{00000000-0004-0000-0500-00000B000000}"/>
    <hyperlink ref="T14" r:id="rId13" xr:uid="{00000000-0004-0000-0500-00000C000000}"/>
    <hyperlink ref="T15" r:id="rId14" xr:uid="{00000000-0004-0000-0500-00000D000000}"/>
    <hyperlink ref="T16" r:id="rId15" xr:uid="{00000000-0004-0000-0500-00000E000000}"/>
    <hyperlink ref="Q18" r:id="rId16" xr:uid="{00000000-0004-0000-0500-00000F000000}"/>
    <hyperlink ref="T17" r:id="rId17" xr:uid="{00000000-0004-0000-0500-000010000000}"/>
    <hyperlink ref="T18" r:id="rId18" xr:uid="{00000000-0004-0000-0500-000011000000}"/>
    <hyperlink ref="T19" r:id="rId19" xr:uid="{00000000-0004-0000-0500-000012000000}"/>
    <hyperlink ref="T21" r:id="rId20" xr:uid="{00000000-0004-0000-0500-000013000000}"/>
    <hyperlink ref="T22" r:id="rId21" xr:uid="{00000000-0004-0000-0500-000014000000}"/>
    <hyperlink ref="T25" r:id="rId22" xr:uid="{00000000-0004-0000-0500-000015000000}"/>
    <hyperlink ref="T26" r:id="rId23" xr:uid="{00000000-0004-0000-0500-000016000000}"/>
    <hyperlink ref="U26" r:id="rId24" xr:uid="{00000000-0004-0000-0500-000017000000}"/>
    <hyperlink ref="T23" r:id="rId25" xr:uid="{00000000-0004-0000-0500-000018000000}"/>
    <hyperlink ref="T29" r:id="rId26" xr:uid="{00000000-0004-0000-0500-000019000000}"/>
    <hyperlink ref="T31" r:id="rId27" xr:uid="{00000000-0004-0000-0500-00001A000000}"/>
    <hyperlink ref="T32" r:id="rId28" xr:uid="{00000000-0004-0000-0500-00001B000000}"/>
    <hyperlink ref="T33" r:id="rId29" xr:uid="{00000000-0004-0000-0500-00001C000000}"/>
    <hyperlink ref="T35" r:id="rId30" display="38" xr:uid="{00000000-0004-0000-0500-00001D000000}"/>
    <hyperlink ref="T36" r:id="rId31" xr:uid="{00000000-0004-0000-0500-00001E000000}"/>
    <hyperlink ref="T37" r:id="rId32" xr:uid="{00000000-0004-0000-0500-00001F000000}"/>
    <hyperlink ref="T38" r:id="rId33" xr:uid="{00000000-0004-0000-0500-000020000000}"/>
    <hyperlink ref="T39" r:id="rId34" xr:uid="{00000000-0004-0000-0500-000021000000}"/>
    <hyperlink ref="T40" r:id="rId35" xr:uid="{00000000-0004-0000-0500-000022000000}"/>
    <hyperlink ref="T41" r:id="rId36" xr:uid="{00000000-0004-0000-0500-000023000000}"/>
    <hyperlink ref="T42" r:id="rId37" xr:uid="{00000000-0004-0000-0500-000024000000}"/>
    <hyperlink ref="T43" r:id="rId38" display="https://eproc.punjab.gov.in/nicgep/app?component=%24DirectLink&amp;page=FrontEndViewTender&amp;service=direct&amp;session=T&amp;sp=StUgGPZuZu%2FjdNTvjMwS75g%3D%3D" xr:uid="{00000000-0004-0000-0500-000025000000}"/>
    <hyperlink ref="T44" r:id="rId39" xr:uid="{00000000-0004-0000-0500-000026000000}"/>
    <hyperlink ref="T45" r:id="rId40" xr:uid="{00000000-0004-0000-0500-000027000000}"/>
    <hyperlink ref="T46" r:id="rId41" xr:uid="{00000000-0004-0000-0500-000028000000}"/>
    <hyperlink ref="T47" r:id="rId42" xr:uid="{00000000-0004-0000-0500-000029000000}"/>
    <hyperlink ref="T48" r:id="rId43" xr:uid="{00000000-0004-0000-0500-00002A000000}"/>
    <hyperlink ref="T49" r:id="rId44" xr:uid="{00000000-0004-0000-0500-00002B000000}"/>
  </hyperlinks>
  <pageMargins left="0.7" right="0.7" top="0.75" bottom="0.75" header="0.3" footer="0.3"/>
  <pageSetup orientation="portrait" r:id="rId45"/>
  <legacyDrawing r:id="rId46"/>
  <extLst>
    <ext xmlns:x14="http://schemas.microsoft.com/office/spreadsheetml/2009/9/main" uri="{CCE6A557-97BC-4b89-ADB6-D9C93CAAB3DF}">
      <x14:dataValidations xmlns:xm="http://schemas.microsoft.com/office/excel/2006/main" count="16">
        <x14:dataValidation type="list" allowBlank="1" showInputMessage="1" showErrorMessage="1" xr:uid="{00000000-0002-0000-0500-000002000000}">
          <x14:formula1>
            <xm:f>Validations!$A$2:$A$15</xm:f>
          </x14:formula1>
          <xm:sqref>N47:N113 M2:M113</xm:sqref>
        </x14:dataValidation>
        <x14:dataValidation type="list" allowBlank="1" showInputMessage="1" showErrorMessage="1" xr:uid="{00000000-0002-0000-0500-000003000000}">
          <x14:formula1>
            <xm:f>Validations!$B$2:$B$19</xm:f>
          </x14:formula1>
          <xm:sqref>O2:O52</xm:sqref>
        </x14:dataValidation>
        <x14:dataValidation type="list" allowBlank="1" showInputMessage="1" showErrorMessage="1" xr:uid="{00000000-0002-0000-0500-000004000000}">
          <x14:formula1>
            <xm:f>Validations!$E$2:$E$8</xm:f>
          </x14:formula1>
          <xm:sqref>C48:C95 C2:C42 C44:C46</xm:sqref>
        </x14:dataValidation>
        <x14:dataValidation type="list" allowBlank="1" showInputMessage="1" showErrorMessage="1" xr:uid="{00000000-0002-0000-0500-000005000000}">
          <x14:formula1>
            <xm:f>Validations!$D$2:$D$52</xm:f>
          </x14:formula1>
          <xm:sqref>P2:P48</xm:sqref>
        </x14:dataValidation>
        <x14:dataValidation type="list" allowBlank="1" showInputMessage="1" showErrorMessage="1" xr:uid="{00000000-0002-0000-0500-000006000000}">
          <x14:formula1>
            <xm:f>Validations!$E$2:$E$23</xm:f>
          </x14:formula1>
          <xm:sqref>C47 C43</xm:sqref>
        </x14:dataValidation>
        <x14:dataValidation type="list" allowBlank="1" showInputMessage="1" showErrorMessage="1" xr:uid="{00000000-0002-0000-0500-000007000000}">
          <x14:formula1>
            <xm:f>Validations!I54:I60</xm:f>
          </x14:formula1>
          <xm:sqref>R44:R45</xm:sqref>
        </x14:dataValidation>
        <x14:dataValidation type="list" allowBlank="1" showInputMessage="1" showErrorMessage="1" xr:uid="{00000000-0002-0000-0500-000008000000}">
          <x14:formula1>
            <xm:f>Validations!I57:I63</xm:f>
          </x14:formula1>
          <xm:sqref>R46</xm:sqref>
        </x14:dataValidation>
        <x14:dataValidation type="list" allowBlank="1" showInputMessage="1" showErrorMessage="1" xr:uid="{00000000-0002-0000-0500-000009000000}">
          <x14:formula1>
            <xm:f>Validations!I59:I65</xm:f>
          </x14:formula1>
          <xm:sqref>R47:R113</xm:sqref>
        </x14:dataValidation>
        <x14:dataValidation type="list" allowBlank="1" showInputMessage="1" showErrorMessage="1" xr:uid="{00000000-0002-0000-0500-00000A000000}">
          <x14:formula1>
            <xm:f>Validations!I33:I39</xm:f>
          </x14:formula1>
          <xm:sqref>R29:R33</xm:sqref>
        </x14:dataValidation>
        <x14:dataValidation type="list" allowBlank="1" showInputMessage="1" showErrorMessage="1" xr:uid="{00000000-0002-0000-0500-00000B000000}">
          <x14:formula1>
            <xm:f>Validations!I39:I45</xm:f>
          </x14:formula1>
          <xm:sqref>R34</xm:sqref>
        </x14:dataValidation>
        <x14:dataValidation type="list" allowBlank="1" showInputMessage="1" showErrorMessage="1" xr:uid="{00000000-0002-0000-0500-00000C000000}">
          <x14:formula1>
            <xm:f>Validations!I40:I46</xm:f>
          </x14:formula1>
          <xm:sqref>U35</xm:sqref>
        </x14:dataValidation>
        <x14:dataValidation type="list" allowBlank="1" showInputMessage="1" showErrorMessage="1" xr:uid="{00000000-0002-0000-0500-00000D000000}">
          <x14:formula1>
            <xm:f>Validations!I42:I48</xm:f>
          </x14:formula1>
          <xm:sqref>R36:R37</xm:sqref>
        </x14:dataValidation>
        <x14:dataValidation type="list" allowBlank="1" showInputMessage="1" showErrorMessage="1" xr:uid="{00000000-0002-0000-0500-00000E000000}">
          <x14:formula1>
            <xm:f>Validations!I45:I51</xm:f>
          </x14:formula1>
          <xm:sqref>R38:R41</xm:sqref>
        </x14:dataValidation>
        <x14:dataValidation type="list" allowBlank="1" showInputMessage="1" showErrorMessage="1" xr:uid="{00000000-0002-0000-0500-00000F000000}">
          <x14:formula1>
            <xm:f>Validations!I50:I56</xm:f>
          </x14:formula1>
          <xm:sqref>R42:R43</xm:sqref>
        </x14:dataValidation>
        <x14:dataValidation type="list" allowBlank="1" showInputMessage="1" showErrorMessage="1" xr:uid="{00000000-0002-0000-0500-000010000000}">
          <x14:formula1>
            <xm:f>Validations!I2:I8</xm:f>
          </x14:formula1>
          <xm:sqref>R2:R20</xm:sqref>
        </x14:dataValidation>
        <x14:dataValidation type="list" allowBlank="1" showInputMessage="1" showErrorMessage="1" xr:uid="{00000000-0002-0000-0500-000011000000}">
          <x14:formula1>
            <xm:f>Validations!I20:I26</xm:f>
          </x14:formula1>
          <xm:sqref>R21:R28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2:E21"/>
  <sheetViews>
    <sheetView workbookViewId="0">
      <selection activeCell="D8" sqref="D8"/>
    </sheetView>
  </sheetViews>
  <sheetFormatPr defaultRowHeight="14.4"/>
  <cols>
    <col min="1" max="1" width="42.77734375" style="3" customWidth="1"/>
    <col min="2" max="2" width="6.109375" style="4" customWidth="1"/>
    <col min="3" max="3" width="88.44140625" hidden="1" customWidth="1"/>
    <col min="4" max="4" width="16.109375" customWidth="1"/>
    <col min="5" max="5" width="6.109375" customWidth="1"/>
    <col min="6" max="6" width="83.88671875" bestFit="1" customWidth="1"/>
    <col min="7" max="7" width="19.109375" bestFit="1" customWidth="1"/>
    <col min="8" max="8" width="29.109375" bestFit="1" customWidth="1"/>
    <col min="9" max="9" width="38.44140625" bestFit="1" customWidth="1"/>
    <col min="10" max="10" width="30.5546875" bestFit="1" customWidth="1"/>
    <col min="11" max="11" width="35.6640625" bestFit="1" customWidth="1"/>
    <col min="12" max="12" width="28.6640625" bestFit="1" customWidth="1"/>
    <col min="13" max="13" width="20.33203125" bestFit="1" customWidth="1"/>
    <col min="14" max="14" width="14.33203125" bestFit="1" customWidth="1"/>
    <col min="15" max="15" width="40.88671875" bestFit="1" customWidth="1"/>
    <col min="16" max="16" width="43.5546875" bestFit="1" customWidth="1"/>
    <col min="17" max="17" width="7.44140625" bestFit="1" customWidth="1"/>
    <col min="18" max="18" width="11.6640625" bestFit="1" customWidth="1"/>
  </cols>
  <sheetData>
    <row r="2" spans="1:5" ht="15" thickBot="1"/>
    <row r="3" spans="1:5" ht="15" thickBot="1">
      <c r="A3" s="82" t="s">
        <v>28</v>
      </c>
      <c r="B3" s="79" t="s">
        <v>227</v>
      </c>
      <c r="D3" s="78" t="s">
        <v>15</v>
      </c>
      <c r="E3" s="79" t="s">
        <v>227</v>
      </c>
    </row>
    <row r="4" spans="1:5" ht="15" thickBot="1">
      <c r="A4" s="83" t="s">
        <v>98</v>
      </c>
      <c r="B4" s="333">
        <v>6</v>
      </c>
      <c r="D4" s="80" t="s">
        <v>4</v>
      </c>
      <c r="E4" s="333">
        <v>1</v>
      </c>
    </row>
    <row r="5" spans="1:5" ht="29.4" thickBot="1">
      <c r="A5" s="83" t="s">
        <v>90</v>
      </c>
      <c r="B5" s="333">
        <v>1</v>
      </c>
      <c r="D5" s="80" t="s">
        <v>34</v>
      </c>
      <c r="E5" s="333">
        <v>42</v>
      </c>
    </row>
    <row r="6" spans="1:5" ht="29.4" thickBot="1">
      <c r="A6" s="83" t="s">
        <v>39</v>
      </c>
      <c r="B6" s="333">
        <v>1</v>
      </c>
    </row>
    <row r="7" spans="1:5" ht="43.8" thickBot="1">
      <c r="A7" s="83" t="s">
        <v>83</v>
      </c>
      <c r="B7" s="333">
        <v>1</v>
      </c>
    </row>
    <row r="8" spans="1:5" ht="29.4" thickBot="1">
      <c r="A8" s="83" t="s">
        <v>77</v>
      </c>
      <c r="B8" s="333">
        <v>1</v>
      </c>
    </row>
    <row r="9" spans="1:5" ht="29.4" thickBot="1">
      <c r="A9" s="83" t="s">
        <v>61</v>
      </c>
      <c r="B9" s="333">
        <v>11</v>
      </c>
    </row>
    <row r="10" spans="1:5" ht="15" thickBot="1">
      <c r="A10" s="83" t="s">
        <v>44</v>
      </c>
      <c r="B10" s="333">
        <v>2</v>
      </c>
    </row>
    <row r="11" spans="1:5" ht="15" thickBot="1">
      <c r="A11" s="83" t="s">
        <v>67</v>
      </c>
      <c r="B11" s="333">
        <v>4</v>
      </c>
    </row>
    <row r="12" spans="1:5" ht="15" thickBot="1">
      <c r="A12" s="83" t="s">
        <v>54</v>
      </c>
      <c r="B12" s="333">
        <v>1</v>
      </c>
    </row>
    <row r="13" spans="1:5" ht="15" thickBot="1">
      <c r="A13" s="83" t="s">
        <v>48</v>
      </c>
      <c r="B13" s="333">
        <v>2</v>
      </c>
    </row>
    <row r="14" spans="1:5" ht="15" thickBot="1">
      <c r="A14" s="83" t="s">
        <v>94</v>
      </c>
      <c r="B14" s="333">
        <v>1</v>
      </c>
    </row>
    <row r="15" spans="1:5" ht="15" thickBot="1">
      <c r="A15" s="83" t="s">
        <v>109</v>
      </c>
      <c r="B15" s="333">
        <v>1</v>
      </c>
    </row>
    <row r="16" spans="1:5" ht="15" thickBot="1">
      <c r="A16" s="83" t="s">
        <v>58</v>
      </c>
      <c r="B16" s="333">
        <v>1</v>
      </c>
    </row>
    <row r="17" spans="1:2" ht="15" thickBot="1">
      <c r="A17" s="83" t="s">
        <v>12</v>
      </c>
      <c r="B17" s="333">
        <v>33</v>
      </c>
    </row>
    <row r="18" spans="1:2">
      <c r="A18"/>
      <c r="B18"/>
    </row>
    <row r="19" spans="1:2">
      <c r="A19"/>
      <c r="B19"/>
    </row>
    <row r="20" spans="1:2">
      <c r="A20"/>
      <c r="B20"/>
    </row>
    <row r="21" spans="1:2">
      <c r="A21"/>
      <c r="B21"/>
    </row>
  </sheetData>
  <pageMargins left="0.7" right="0.7" top="0.75" bottom="0.75" header="0.3" footer="0.3"/>
  <pageSetup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F27"/>
  <sheetViews>
    <sheetView workbookViewId="0">
      <selection activeCell="J26" sqref="J26"/>
    </sheetView>
  </sheetViews>
  <sheetFormatPr defaultRowHeight="14.4"/>
  <cols>
    <col min="4" max="4" width="13" bestFit="1" customWidth="1"/>
  </cols>
  <sheetData>
    <row r="1" spans="1:2">
      <c r="A1" s="151"/>
    </row>
    <row r="2" spans="1:2">
      <c r="A2" s="152">
        <v>1</v>
      </c>
      <c r="B2" s="151" t="s">
        <v>228</v>
      </c>
    </row>
    <row r="3" spans="1:2">
      <c r="A3" s="152">
        <v>2</v>
      </c>
      <c r="B3" s="151" t="s">
        <v>229</v>
      </c>
    </row>
    <row r="4" spans="1:2">
      <c r="A4" s="152">
        <v>3</v>
      </c>
      <c r="B4" s="151" t="s">
        <v>230</v>
      </c>
    </row>
    <row r="5" spans="1:2">
      <c r="A5" s="152">
        <v>4</v>
      </c>
      <c r="B5" s="151" t="s">
        <v>231</v>
      </c>
    </row>
    <row r="6" spans="1:2">
      <c r="A6" s="152">
        <v>5</v>
      </c>
      <c r="B6" s="151" t="s">
        <v>232</v>
      </c>
    </row>
    <row r="7" spans="1:2">
      <c r="A7" s="152">
        <v>6</v>
      </c>
      <c r="B7" s="151" t="s">
        <v>233</v>
      </c>
    </row>
    <row r="8" spans="1:2">
      <c r="A8" s="152">
        <v>7</v>
      </c>
      <c r="B8" s="151" t="s">
        <v>234</v>
      </c>
    </row>
    <row r="9" spans="1:2">
      <c r="A9" s="152">
        <v>8</v>
      </c>
      <c r="B9" s="151" t="s">
        <v>235</v>
      </c>
    </row>
    <row r="10" spans="1:2">
      <c r="A10" s="152">
        <v>9</v>
      </c>
      <c r="B10" s="151" t="s">
        <v>236</v>
      </c>
    </row>
    <row r="12" spans="1:2">
      <c r="A12" s="151"/>
    </row>
    <row r="13" spans="1:2">
      <c r="A13" s="151" t="s">
        <v>237</v>
      </c>
    </row>
    <row r="14" spans="1:2">
      <c r="A14" s="151">
        <v>1</v>
      </c>
      <c r="B14" s="151" t="s">
        <v>238</v>
      </c>
    </row>
    <row r="15" spans="1:2">
      <c r="A15" s="151">
        <v>2</v>
      </c>
      <c r="B15" s="151" t="s">
        <v>239</v>
      </c>
    </row>
    <row r="18" spans="1:6">
      <c r="A18" t="s">
        <v>240</v>
      </c>
      <c r="B18" s="156" t="s">
        <v>241</v>
      </c>
    </row>
    <row r="19" spans="1:6">
      <c r="B19" s="156" t="s">
        <v>242</v>
      </c>
      <c r="E19" t="s">
        <v>243</v>
      </c>
      <c r="F19" s="156" t="s">
        <v>244</v>
      </c>
    </row>
    <row r="20" spans="1:6">
      <c r="B20" s="156" t="s">
        <v>245</v>
      </c>
    </row>
    <row r="21" spans="1:6">
      <c r="B21" s="156" t="s">
        <v>246</v>
      </c>
    </row>
    <row r="22" spans="1:6">
      <c r="B22" s="156" t="s">
        <v>247</v>
      </c>
    </row>
    <row r="25" spans="1:6">
      <c r="B25" s="153" t="s">
        <v>248</v>
      </c>
    </row>
    <row r="27" spans="1:6">
      <c r="D27" s="159"/>
      <c r="E27" s="159"/>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B65"/>
  <sheetViews>
    <sheetView topLeftCell="A3" workbookViewId="0">
      <selection activeCell="A3" sqref="A3"/>
    </sheetView>
  </sheetViews>
  <sheetFormatPr defaultRowHeight="14.4"/>
  <cols>
    <col min="1" max="1" width="84.77734375" bestFit="1" customWidth="1"/>
    <col min="2" max="2" width="15" style="2" bestFit="1" customWidth="1"/>
    <col min="3" max="3" width="19.44140625" bestFit="1" customWidth="1"/>
    <col min="4" max="4" width="11.33203125" bestFit="1" customWidth="1"/>
  </cols>
  <sheetData>
    <row r="3" spans="1:2">
      <c r="A3" s="154" t="s">
        <v>249</v>
      </c>
      <c r="B3" s="2" t="s">
        <v>250</v>
      </c>
    </row>
    <row r="4" spans="1:2">
      <c r="A4" s="155" t="s">
        <v>98</v>
      </c>
      <c r="B4" s="332">
        <v>6</v>
      </c>
    </row>
    <row r="5" spans="1:2">
      <c r="A5" s="155" t="s">
        <v>154</v>
      </c>
      <c r="B5" s="332">
        <v>4</v>
      </c>
    </row>
    <row r="6" spans="1:2">
      <c r="A6" s="155" t="s">
        <v>90</v>
      </c>
      <c r="B6" s="332">
        <v>1</v>
      </c>
    </row>
    <row r="7" spans="1:2">
      <c r="A7" s="155" t="s">
        <v>39</v>
      </c>
      <c r="B7" s="332">
        <v>1</v>
      </c>
    </row>
    <row r="8" spans="1:2">
      <c r="A8" s="155" t="s">
        <v>83</v>
      </c>
      <c r="B8" s="332">
        <v>1</v>
      </c>
    </row>
    <row r="9" spans="1:2">
      <c r="A9" s="155" t="s">
        <v>77</v>
      </c>
      <c r="B9" s="332">
        <v>1</v>
      </c>
    </row>
    <row r="10" spans="1:2">
      <c r="A10" s="155" t="s">
        <v>61</v>
      </c>
      <c r="B10" s="332">
        <v>11</v>
      </c>
    </row>
    <row r="11" spans="1:2">
      <c r="A11" s="155" t="s">
        <v>117</v>
      </c>
      <c r="B11" s="332">
        <v>1</v>
      </c>
    </row>
    <row r="12" spans="1:2">
      <c r="A12" s="155" t="s">
        <v>44</v>
      </c>
      <c r="B12" s="332">
        <v>2</v>
      </c>
    </row>
    <row r="13" spans="1:2">
      <c r="A13" s="155" t="s">
        <v>148</v>
      </c>
      <c r="B13" s="332">
        <v>3</v>
      </c>
    </row>
    <row r="14" spans="1:2">
      <c r="A14" s="155" t="s">
        <v>164</v>
      </c>
      <c r="B14" s="332">
        <v>1</v>
      </c>
    </row>
    <row r="15" spans="1:2">
      <c r="A15" s="155" t="s">
        <v>67</v>
      </c>
      <c r="B15" s="332">
        <v>4</v>
      </c>
    </row>
    <row r="16" spans="1:2">
      <c r="A16" s="155" t="s">
        <v>54</v>
      </c>
      <c r="B16" s="332">
        <v>1</v>
      </c>
    </row>
    <row r="17" spans="1:2">
      <c r="A17" s="155" t="s">
        <v>48</v>
      </c>
      <c r="B17" s="332">
        <v>2</v>
      </c>
    </row>
    <row r="18" spans="1:2">
      <c r="A18" s="155" t="s">
        <v>94</v>
      </c>
      <c r="B18" s="332">
        <v>1</v>
      </c>
    </row>
    <row r="19" spans="1:2">
      <c r="A19" s="155" t="s">
        <v>109</v>
      </c>
      <c r="B19" s="332">
        <v>1</v>
      </c>
    </row>
    <row r="20" spans="1:2">
      <c r="A20" s="155" t="s">
        <v>58</v>
      </c>
      <c r="B20" s="332">
        <v>1</v>
      </c>
    </row>
    <row r="21" spans="1:2">
      <c r="A21" s="155" t="s">
        <v>12</v>
      </c>
      <c r="B21" s="332">
        <v>42</v>
      </c>
    </row>
    <row r="22" spans="1:2">
      <c r="B22"/>
    </row>
    <row r="30" spans="1:2">
      <c r="A30" s="154" t="s">
        <v>251</v>
      </c>
      <c r="B30" s="2" t="s">
        <v>252</v>
      </c>
    </row>
    <row r="31" spans="1:2">
      <c r="A31" s="155" t="s">
        <v>253</v>
      </c>
      <c r="B31" s="332">
        <v>26</v>
      </c>
    </row>
    <row r="32" spans="1:2">
      <c r="A32" s="155" t="s">
        <v>144</v>
      </c>
      <c r="B32" s="332">
        <v>7</v>
      </c>
    </row>
    <row r="33" spans="1:2">
      <c r="A33" s="155" t="s">
        <v>12</v>
      </c>
      <c r="B33" s="332">
        <v>33</v>
      </c>
    </row>
    <row r="34" spans="1:2">
      <c r="B34"/>
    </row>
    <row r="35" spans="1:2">
      <c r="B35"/>
    </row>
    <row r="36" spans="1:2">
      <c r="B36"/>
    </row>
    <row r="37" spans="1:2">
      <c r="B37"/>
    </row>
    <row r="38" spans="1:2">
      <c r="B38"/>
    </row>
    <row r="39" spans="1:2">
      <c r="B39"/>
    </row>
    <row r="40" spans="1:2">
      <c r="B40"/>
    </row>
    <row r="41" spans="1:2">
      <c r="B41"/>
    </row>
    <row r="42" spans="1:2">
      <c r="B42"/>
    </row>
    <row r="43" spans="1:2">
      <c r="B43"/>
    </row>
    <row r="44" spans="1:2">
      <c r="B44"/>
    </row>
    <row r="45" spans="1:2">
      <c r="B45"/>
    </row>
    <row r="46" spans="1:2">
      <c r="B46"/>
    </row>
    <row r="47" spans="1:2">
      <c r="B47"/>
    </row>
    <row r="48" spans="1:2">
      <c r="B48"/>
    </row>
    <row r="49" spans="2:2">
      <c r="B49"/>
    </row>
    <row r="50" spans="2:2">
      <c r="B50"/>
    </row>
    <row r="51" spans="2:2">
      <c r="B51"/>
    </row>
    <row r="52" spans="2:2">
      <c r="B52"/>
    </row>
    <row r="53" spans="2:2">
      <c r="B53"/>
    </row>
    <row r="54" spans="2:2">
      <c r="B54"/>
    </row>
    <row r="55" spans="2:2">
      <c r="B55"/>
    </row>
    <row r="56" spans="2:2">
      <c r="B56"/>
    </row>
    <row r="57" spans="2:2">
      <c r="B57"/>
    </row>
    <row r="58" spans="2:2">
      <c r="B58"/>
    </row>
    <row r="59" spans="2:2">
      <c r="B59"/>
    </row>
    <row r="60" spans="2:2">
      <c r="B60"/>
    </row>
    <row r="61" spans="2:2">
      <c r="B61"/>
    </row>
    <row r="62" spans="2:2">
      <c r="B62"/>
    </row>
    <row r="63" spans="2:2">
      <c r="B63"/>
    </row>
    <row r="64" spans="2:2">
      <c r="B64"/>
    </row>
    <row r="65" spans="2:2">
      <c r="B65"/>
    </row>
  </sheetData>
  <pageMargins left="0.7" right="0.7" top="0.75" bottom="0.75" header="0.3" footer="0.3"/>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F65"/>
  <sheetViews>
    <sheetView workbookViewId="0">
      <pane xSplit="5" ySplit="1" topLeftCell="H2" activePane="bottomRight" state="frozen"/>
      <selection pane="topRight"/>
      <selection pane="bottomLeft"/>
      <selection pane="bottomRight" activeCell="H7" sqref="H7"/>
    </sheetView>
  </sheetViews>
  <sheetFormatPr defaultRowHeight="15" customHeight="1"/>
  <cols>
    <col min="1" max="1" width="9.88671875" style="2" customWidth="1"/>
    <col min="2" max="2" width="20.6640625" style="234" customWidth="1"/>
    <col min="3" max="3" width="15.109375" style="2" bestFit="1" customWidth="1"/>
    <col min="4" max="4" width="12.33203125" style="2" customWidth="1"/>
    <col min="5" max="5" width="16.6640625" style="2" customWidth="1"/>
    <col min="6" max="6" width="31" style="236" customWidth="1"/>
    <col min="7" max="7" width="16.5546875" style="2" hidden="1" customWidth="1"/>
    <col min="8" max="8" width="19.6640625" style="2" customWidth="1"/>
    <col min="9" max="9" width="17" style="231" customWidth="1"/>
    <col min="10" max="10" width="20.88671875" style="223" hidden="1" customWidth="1"/>
    <col min="11" max="11" width="10.88671875" customWidth="1"/>
    <col min="12" max="12" width="6.33203125" customWidth="1"/>
    <col min="13" max="13" width="14.5546875" customWidth="1"/>
    <col min="14" max="14" width="14" customWidth="1"/>
    <col min="15" max="15" width="5.44140625" customWidth="1"/>
    <col min="16" max="16" width="15.88671875" style="320" customWidth="1"/>
    <col min="17" max="17" width="12.6640625" style="322" customWidth="1"/>
    <col min="18" max="18" width="27.33203125" style="2" bestFit="1" customWidth="1"/>
    <col min="19" max="19" width="13" style="2" customWidth="1"/>
    <col min="20" max="20" width="19.6640625" style="2" bestFit="1" customWidth="1"/>
    <col min="21" max="21" width="18.6640625" style="2" bestFit="1" customWidth="1"/>
    <col min="22" max="22" width="10.109375" style="2" bestFit="1" customWidth="1"/>
    <col min="23" max="23" width="23.5546875" style="2" customWidth="1"/>
    <col min="24" max="24" width="13" style="2" customWidth="1"/>
    <col min="25" max="25" width="23.109375" style="2" bestFit="1" customWidth="1"/>
    <col min="26" max="26" width="13" style="2" customWidth="1"/>
    <col min="27" max="27" width="34.44140625" style="2" customWidth="1"/>
    <col min="28" max="28" width="13" style="2" customWidth="1"/>
    <col min="29" max="29" width="16.109375" style="2" bestFit="1" customWidth="1"/>
    <col min="30" max="30" width="13" style="2" customWidth="1"/>
    <col min="31" max="31" width="41.33203125" style="2" customWidth="1"/>
    <col min="32" max="32" width="7.44140625" style="2" bestFit="1" customWidth="1"/>
  </cols>
  <sheetData>
    <row r="1" spans="1:32" ht="14.4">
      <c r="A1" s="222" t="s">
        <v>13</v>
      </c>
      <c r="B1" s="233" t="s">
        <v>15</v>
      </c>
      <c r="C1" s="222" t="s">
        <v>21</v>
      </c>
      <c r="D1" s="222" t="s">
        <v>16</v>
      </c>
      <c r="E1" s="222" t="s">
        <v>23</v>
      </c>
      <c r="F1" s="235" t="s">
        <v>33</v>
      </c>
      <c r="G1" s="221" t="s">
        <v>254</v>
      </c>
      <c r="H1" s="255" t="s">
        <v>255</v>
      </c>
      <c r="I1" s="230" t="s">
        <v>256</v>
      </c>
      <c r="J1" s="224" t="str">
        <f>C1</f>
        <v>Acronym</v>
      </c>
      <c r="K1" s="227" t="s">
        <v>21</v>
      </c>
      <c r="L1" s="229" t="s">
        <v>227</v>
      </c>
      <c r="M1" s="227"/>
      <c r="N1" s="227"/>
      <c r="O1" s="227"/>
      <c r="P1" s="318" t="s">
        <v>257</v>
      </c>
      <c r="Q1" s="319"/>
      <c r="R1" s="221" t="s">
        <v>258</v>
      </c>
      <c r="S1" s="221" t="s">
        <v>259</v>
      </c>
      <c r="T1" s="221" t="s">
        <v>260</v>
      </c>
      <c r="U1" s="221" t="s">
        <v>261</v>
      </c>
      <c r="V1" s="221" t="s">
        <v>259</v>
      </c>
      <c r="W1" s="221" t="s">
        <v>262</v>
      </c>
      <c r="X1" s="221" t="s">
        <v>259</v>
      </c>
      <c r="Y1" s="221" t="s">
        <v>263</v>
      </c>
      <c r="Z1" s="221" t="s">
        <v>259</v>
      </c>
      <c r="AA1" s="221" t="s">
        <v>264</v>
      </c>
      <c r="AB1" s="221" t="s">
        <v>259</v>
      </c>
      <c r="AC1" s="221" t="s">
        <v>265</v>
      </c>
      <c r="AD1" s="221" t="s">
        <v>259</v>
      </c>
      <c r="AE1" s="221" t="s">
        <v>235</v>
      </c>
      <c r="AF1" s="221" t="s">
        <v>266</v>
      </c>
    </row>
    <row r="2" spans="1:32" ht="28.8">
      <c r="A2" s="335">
        <v>33</v>
      </c>
      <c r="B2" s="238" t="s">
        <v>140</v>
      </c>
      <c r="C2" s="237" t="s">
        <v>142</v>
      </c>
      <c r="D2" s="239">
        <v>44905</v>
      </c>
      <c r="E2" s="239">
        <v>44932</v>
      </c>
      <c r="F2" s="114" t="s">
        <v>145</v>
      </c>
      <c r="G2" s="240">
        <f ca="1">E2-TODAY()</f>
        <v>-140</v>
      </c>
      <c r="H2" s="256">
        <f ca="1">COUNTIF(R2:AD2,"Done")/10</f>
        <v>1</v>
      </c>
      <c r="I2" s="114" t="str">
        <f t="shared" ref="I2:I4" ca="1" si="0">IF(S2="Not to be pursued","Not to be pursued",IF(V2="Not to be pursued","Not to be pursued",IF(X2="Not to be pursued","Not to be pursued",IF(Z2="Not to be pursued","Not to be pursued",IF(AB2="Not to be pursued","Not to be pursued",IF(S2="In Process","Follow up with management",IF(V2="In Process","Technical Evaluation",IF(X2="In Process","Filling",IF(Z2="In Process","Documentation",IF(AB2="In Process","Accounts",IF(AD2= "Done","Submitted", "")))))))))))</f>
        <v>Submitted</v>
      </c>
      <c r="J2" s="223" t="str">
        <f>C2</f>
        <v>Punjab skill</v>
      </c>
      <c r="K2" s="227" t="s">
        <v>142</v>
      </c>
      <c r="L2" s="242">
        <f>COUNTA(K2:K43)</f>
        <v>1</v>
      </c>
      <c r="M2" s="227"/>
      <c r="N2" s="227"/>
      <c r="O2" s="227"/>
      <c r="Q2" s="321"/>
      <c r="R2" s="28" t="s">
        <v>267</v>
      </c>
      <c r="S2" s="23" t="str">
        <f t="shared" ref="S2:S6" ca="1" si="1">IF(R2="","",IF(R2="Done", "Done",IF(AND(R2="Not Done", TODAY()-D2&lt;3),"In Process", IF(R2="Not to be pursued","Not to be pursued","Overdue"))))</f>
        <v>Done</v>
      </c>
      <c r="T2" s="28" t="s">
        <v>268</v>
      </c>
      <c r="U2" s="28" t="s">
        <v>253</v>
      </c>
      <c r="V2" s="23" t="str">
        <f t="shared" ref="V2" ca="1" si="2">IF(S2="Not to be pursued", "Not to be pursued",IF(T2="","",IF(T2="Not required", "N/A", IF(AND(T2="Sent for advice",U2="Yes"),"Done",IF(AND(U2="No", TODAY()-D2&lt;6),"In Process","Overdue")))))</f>
        <v>N/A</v>
      </c>
      <c r="W2" s="28" t="s">
        <v>267</v>
      </c>
      <c r="X2" s="23" t="str">
        <f t="shared" ref="X2:X6" ca="1" si="3" xml:space="preserve"> IF(V2="Not to be pursued","Not to be pursued",IF(W2="","",IF(W2="Not to be pursued","Not to be pursued",IF(V2="Not Required","Not Required",IF( W2= "Done", "Done",IF(AND(TODAY()-D2&gt;10, W2="Not Done"), "Overdue","In Process"))))))</f>
        <v>Done</v>
      </c>
      <c r="Y2" s="28" t="s">
        <v>267</v>
      </c>
      <c r="Z2" s="23" t="str">
        <f t="shared" ref="Z2:Z6" ca="1" si="4">IF(X2="Not to be pursued","Not to be pursued",IF(Y2="","",IF(Y2="Not to be pursued","Not to be pursued",IF(Y2="Done","Done", IF(AND(E2-TODAY()&lt;5, Y2= "Not Done"), "Overdue", "In Process")))))</f>
        <v>Done</v>
      </c>
      <c r="AA2" s="28" t="s">
        <v>267</v>
      </c>
      <c r="AB2" s="23" t="str">
        <f t="shared" ref="AB2:AB6" ca="1" si="5">IF(Z2="Not to be pursued","Not to be pursued",IF(AA2="","",IF(AA2="Not to be pursued","Not to be pursued",IF(AA2="Done","Done", IF(AND(E2-TODAY()&lt;4, AA2= "Not Done"), "Overdue", "In Process")))))</f>
        <v>Done</v>
      </c>
      <c r="AC2" s="28" t="s">
        <v>267</v>
      </c>
      <c r="AD2" s="23" t="str">
        <f t="shared" ref="AD2:AD6" ca="1" si="6">IF(AB2="Not to be pursued","Not to be pursued",IF(AC2="","",IF(AC2="Not to be pursued","Not to be pursued",IF(AC2="Done","Done", IF(AND(E2-TODAY()&lt;2, AC2= "Not Done"), "Overdue", "In Process")))))</f>
        <v>Done</v>
      </c>
      <c r="AE2" s="241" t="s">
        <v>144</v>
      </c>
      <c r="AF2" s="241" t="s">
        <v>144</v>
      </c>
    </row>
    <row r="3" spans="1:32" ht="25.8">
      <c r="A3"/>
      <c r="B3"/>
      <c r="C3"/>
      <c r="D3"/>
      <c r="E3"/>
      <c r="F3"/>
      <c r="G3" s="240">
        <f t="shared" ref="G3:G6" ca="1" si="7">E3-TODAY()</f>
        <v>-45072</v>
      </c>
      <c r="H3" s="256">
        <f t="shared" ref="H3:H7" ca="1" si="8">COUNTIF(R3:AD3,"Done")/10</f>
        <v>1</v>
      </c>
      <c r="I3" s="114" t="str">
        <f t="shared" ca="1" si="0"/>
        <v>Submitted</v>
      </c>
      <c r="J3" s="223">
        <f t="shared" ref="J3:J65" si="9">C3</f>
        <v>0</v>
      </c>
      <c r="L3" s="227"/>
      <c r="M3" s="227"/>
      <c r="N3" s="227"/>
      <c r="O3" s="227"/>
      <c r="Q3" s="321"/>
      <c r="R3" s="28" t="s">
        <v>267</v>
      </c>
      <c r="S3" s="23" t="str">
        <f t="shared" ca="1" si="1"/>
        <v>Done</v>
      </c>
      <c r="T3" s="28" t="s">
        <v>268</v>
      </c>
      <c r="U3" s="28" t="s">
        <v>253</v>
      </c>
      <c r="V3" s="23" t="str">
        <f t="shared" ref="V3:V6" ca="1" si="10">IF(S3="Not to be pursued", "Not to be pursued",IF(T3="","",IF(T3="Not required", "N/A", IF(AND(T3="Sent for advice",U3="Yes"),"Done",IF(AND(T3="Sent for advice",U3=""),"",IF(AND(U3="No", TODAY()-D3&lt;6),"In Process","Overdue"))))))</f>
        <v>N/A</v>
      </c>
      <c r="W3" s="28" t="s">
        <v>267</v>
      </c>
      <c r="X3" s="23" t="str">
        <f t="shared" ca="1" si="3"/>
        <v>Done</v>
      </c>
      <c r="Y3" s="28" t="s">
        <v>267</v>
      </c>
      <c r="Z3" s="23" t="str">
        <f t="shared" ca="1" si="4"/>
        <v>Done</v>
      </c>
      <c r="AA3" s="28" t="s">
        <v>267</v>
      </c>
      <c r="AB3" s="23" t="str">
        <f t="shared" ca="1" si="5"/>
        <v>Done</v>
      </c>
      <c r="AC3" s="28" t="s">
        <v>267</v>
      </c>
      <c r="AD3" s="23" t="str">
        <f t="shared" ca="1" si="6"/>
        <v>Done</v>
      </c>
      <c r="AE3" s="241" t="s">
        <v>144</v>
      </c>
      <c r="AF3" s="241" t="s">
        <v>144</v>
      </c>
    </row>
    <row r="4" spans="1:32" ht="25.8">
      <c r="A4"/>
      <c r="B4"/>
      <c r="C4"/>
      <c r="D4"/>
      <c r="E4"/>
      <c r="F4"/>
      <c r="G4" s="240">
        <f t="shared" ca="1" si="7"/>
        <v>-45072</v>
      </c>
      <c r="H4" s="256">
        <f t="shared" ca="1" si="8"/>
        <v>1</v>
      </c>
      <c r="I4" s="114" t="str">
        <f t="shared" ca="1" si="0"/>
        <v>Submitted</v>
      </c>
      <c r="J4" s="223">
        <f t="shared" si="9"/>
        <v>0</v>
      </c>
      <c r="L4" s="227"/>
      <c r="M4" s="227"/>
      <c r="N4" s="227"/>
      <c r="O4" s="227"/>
      <c r="Q4" s="321"/>
      <c r="R4" s="28" t="s">
        <v>267</v>
      </c>
      <c r="S4" s="23" t="str">
        <f t="shared" ca="1" si="1"/>
        <v>Done</v>
      </c>
      <c r="T4" s="28" t="s">
        <v>268</v>
      </c>
      <c r="U4" s="28" t="s">
        <v>253</v>
      </c>
      <c r="V4" s="23" t="str">
        <f t="shared" ca="1" si="10"/>
        <v>N/A</v>
      </c>
      <c r="W4" s="28" t="s">
        <v>267</v>
      </c>
      <c r="X4" s="23" t="str">
        <f t="shared" ca="1" si="3"/>
        <v>Done</v>
      </c>
      <c r="Y4" s="28" t="s">
        <v>267</v>
      </c>
      <c r="Z4" s="23" t="str">
        <f t="shared" ca="1" si="4"/>
        <v>Done</v>
      </c>
      <c r="AA4" s="28" t="s">
        <v>267</v>
      </c>
      <c r="AB4" s="23" t="str">
        <f t="shared" ca="1" si="5"/>
        <v>Done</v>
      </c>
      <c r="AC4" s="28" t="s">
        <v>267</v>
      </c>
      <c r="AD4" s="23" t="str">
        <f t="shared" ca="1" si="6"/>
        <v>Done</v>
      </c>
      <c r="AE4" s="241" t="s">
        <v>144</v>
      </c>
      <c r="AF4" s="241" t="s">
        <v>253</v>
      </c>
    </row>
    <row r="5" spans="1:32" ht="25.8">
      <c r="A5"/>
      <c r="B5"/>
      <c r="C5"/>
      <c r="D5"/>
      <c r="E5"/>
      <c r="F5"/>
      <c r="G5" s="240">
        <f t="shared" ca="1" si="7"/>
        <v>-45072</v>
      </c>
      <c r="H5" s="256">
        <f t="shared" ca="1" si="8"/>
        <v>0.4</v>
      </c>
      <c r="I5" s="114" t="str">
        <f ca="1">IF(S5="Not to be pursued","Not to be pursued",IF(V5="Not to be pursued","Not to be pursued",IF(X5="Not to be pursued","Not to be pursued",IF(Z5="Not to be pursued","Not to be pursued",IF(AB5="Not to be pursued","Not to be pursued",IF(S5="In Process","Follow up with management",IF(S5="Overdue","Follow up with management- Overdue",IF(V5="In Process","Technical Evaluation",IF(X5="In Process","Filling",IF(Z5="In Process","Documentation",IF(AB5="In Process","Accounts",IF(AD5= "Done","Submitted", ""))))))))))))</f>
        <v>Documentation</v>
      </c>
      <c r="J5" s="223">
        <f t="shared" si="9"/>
        <v>0</v>
      </c>
      <c r="K5" s="227"/>
      <c r="L5" s="227"/>
      <c r="M5" s="227"/>
      <c r="N5" s="227"/>
      <c r="O5" s="227"/>
      <c r="Q5" s="321"/>
      <c r="R5" s="28" t="s">
        <v>267</v>
      </c>
      <c r="S5" s="23" t="str">
        <f t="shared" ca="1" si="1"/>
        <v>Done</v>
      </c>
      <c r="T5" s="28" t="s">
        <v>268</v>
      </c>
      <c r="U5" s="28" t="s">
        <v>253</v>
      </c>
      <c r="V5" s="23" t="str">
        <f t="shared" ca="1" si="10"/>
        <v>N/A</v>
      </c>
      <c r="W5" s="28" t="s">
        <v>267</v>
      </c>
      <c r="X5" s="23" t="str">
        <f t="shared" ca="1" si="3"/>
        <v>Done</v>
      </c>
      <c r="Y5" s="28" t="s">
        <v>269</v>
      </c>
      <c r="Z5" s="23" t="str">
        <f t="shared" ca="1" si="4"/>
        <v>In Process</v>
      </c>
      <c r="AA5" s="28" t="s">
        <v>269</v>
      </c>
      <c r="AB5" s="23" t="str">
        <f t="shared" ca="1" si="5"/>
        <v>In Process</v>
      </c>
      <c r="AC5" s="28" t="s">
        <v>269</v>
      </c>
      <c r="AD5" s="23" t="str">
        <f t="shared" ca="1" si="6"/>
        <v>In Process</v>
      </c>
      <c r="AE5" s="241" t="s">
        <v>253</v>
      </c>
      <c r="AF5" s="241" t="s">
        <v>253</v>
      </c>
    </row>
    <row r="6" spans="1:32" ht="43.2">
      <c r="A6"/>
      <c r="B6"/>
      <c r="C6"/>
      <c r="D6"/>
      <c r="E6"/>
      <c r="F6"/>
      <c r="G6" s="240">
        <f t="shared" ca="1" si="7"/>
        <v>-45072</v>
      </c>
      <c r="H6" s="256">
        <f t="shared" ca="1" si="8"/>
        <v>0</v>
      </c>
      <c r="I6" s="114" t="str">
        <f ca="1">IF(S6="Not to be pursued","Not to be pursued",IF(V6="Not to be pursued","Not to be pursued",IF(X6="Not to be pursued","Not to be pursued",IF(Z6="Not to be pursued","Not to be pursued",IF(AB6="Not to be pursued","Not to be pursued",IF(S6="In Process","Follow up with management",IF(S6="Overdue","Follow up with management-Overdue",IF(V6="In Process","Technical Evaluation",IF(V6="Overdue","Technical Evaluation-Overdue",IF(X6="In Process","Filling",IF(X6="Overdue","Filling-Overdue",IF(Z6="In Process","Documentation",IF(Z6="Overdue","Documentation-Overdue",IF(AB6="In Process","Accounts",IF(AB6="Overdue","Accounts-Overdue",IF(AD6= "Done","Submitted",IF(AD6= "Overdue","Final Submission-Overdue", "")))))))))))))))))</f>
        <v>Follow up with management-Overdue</v>
      </c>
      <c r="J6" s="223">
        <f t="shared" si="9"/>
        <v>0</v>
      </c>
      <c r="K6" s="227"/>
      <c r="L6" s="227"/>
      <c r="M6" s="227"/>
      <c r="N6" s="227"/>
      <c r="O6" s="227"/>
      <c r="Q6" s="321"/>
      <c r="R6" s="28" t="s">
        <v>269</v>
      </c>
      <c r="S6" s="23" t="str">
        <f t="shared" ca="1" si="1"/>
        <v>Overdue</v>
      </c>
      <c r="T6" s="28" t="s">
        <v>268</v>
      </c>
      <c r="U6" s="28" t="s">
        <v>253</v>
      </c>
      <c r="V6" s="23" t="str">
        <f t="shared" ca="1" si="10"/>
        <v>N/A</v>
      </c>
      <c r="W6" s="28"/>
      <c r="X6" s="23" t="str">
        <f t="shared" ca="1" si="3"/>
        <v/>
      </c>
      <c r="Y6" s="28"/>
      <c r="Z6" s="23" t="str">
        <f t="shared" ca="1" si="4"/>
        <v/>
      </c>
      <c r="AA6" s="28"/>
      <c r="AB6" s="23" t="str">
        <f t="shared" ca="1" si="5"/>
        <v/>
      </c>
      <c r="AC6" s="28" t="s">
        <v>270</v>
      </c>
      <c r="AD6" s="23" t="str">
        <f t="shared" ca="1" si="6"/>
        <v>Overdue</v>
      </c>
      <c r="AE6" s="241" t="s">
        <v>253</v>
      </c>
      <c r="AF6" s="241" t="s">
        <v>253</v>
      </c>
    </row>
    <row r="7" spans="1:32" ht="25.8">
      <c r="A7"/>
      <c r="B7"/>
      <c r="C7"/>
      <c r="D7"/>
      <c r="E7"/>
      <c r="F7"/>
      <c r="G7" s="240"/>
      <c r="H7" s="256">
        <f t="shared" si="8"/>
        <v>0</v>
      </c>
      <c r="I7" s="114"/>
      <c r="J7" s="223">
        <f t="shared" si="9"/>
        <v>0</v>
      </c>
      <c r="K7" s="227"/>
      <c r="L7" s="227"/>
      <c r="M7" s="227"/>
      <c r="N7" s="227"/>
      <c r="O7" s="227"/>
      <c r="Q7" s="321"/>
      <c r="R7" s="28"/>
      <c r="S7" s="23"/>
      <c r="T7" s="28"/>
      <c r="U7" s="28"/>
      <c r="V7" s="23"/>
      <c r="W7" s="28"/>
      <c r="X7" s="23"/>
      <c r="Y7" s="28"/>
      <c r="Z7" s="23"/>
      <c r="AA7" s="28"/>
      <c r="AB7" s="23"/>
      <c r="AC7" s="28"/>
      <c r="AD7" s="23"/>
      <c r="AE7" s="241"/>
      <c r="AF7" s="241"/>
    </row>
    <row r="8" spans="1:32" ht="25.8">
      <c r="A8"/>
      <c r="B8"/>
      <c r="C8"/>
      <c r="D8"/>
      <c r="E8"/>
      <c r="F8"/>
      <c r="G8" s="240"/>
      <c r="H8" s="256"/>
      <c r="I8" s="114"/>
      <c r="J8" s="223">
        <f t="shared" si="9"/>
        <v>0</v>
      </c>
      <c r="Q8" s="321"/>
      <c r="R8" s="28"/>
      <c r="S8" s="23"/>
      <c r="T8" s="28"/>
      <c r="U8" s="28"/>
      <c r="V8" s="23"/>
      <c r="W8" s="28"/>
      <c r="X8" s="23"/>
      <c r="Y8" s="28"/>
      <c r="Z8" s="23"/>
      <c r="AA8" s="28"/>
      <c r="AB8" s="23"/>
      <c r="AC8" s="241"/>
      <c r="AD8" s="23"/>
      <c r="AE8" s="241"/>
      <c r="AF8" s="241"/>
    </row>
    <row r="9" spans="1:32" ht="25.8">
      <c r="A9"/>
      <c r="B9"/>
      <c r="C9"/>
      <c r="D9"/>
      <c r="E9"/>
      <c r="F9"/>
      <c r="G9" s="240"/>
      <c r="H9" s="256"/>
      <c r="I9" s="114"/>
      <c r="J9" s="223">
        <f t="shared" si="9"/>
        <v>0</v>
      </c>
      <c r="Q9" s="321"/>
      <c r="R9" s="28"/>
      <c r="S9" s="23"/>
      <c r="T9" s="28"/>
      <c r="U9" s="28"/>
      <c r="V9" s="23"/>
      <c r="W9" s="28"/>
      <c r="X9" s="23"/>
      <c r="Y9" s="28"/>
      <c r="Z9" s="23"/>
      <c r="AA9" s="28"/>
      <c r="AB9" s="23"/>
      <c r="AC9" s="241"/>
      <c r="AD9" s="23"/>
      <c r="AE9" s="241"/>
      <c r="AF9" s="241"/>
    </row>
    <row r="10" spans="1:32" ht="25.8">
      <c r="A10"/>
      <c r="B10"/>
      <c r="C10"/>
      <c r="D10"/>
      <c r="E10"/>
      <c r="F10"/>
      <c r="G10" s="240"/>
      <c r="H10" s="256"/>
      <c r="I10" s="114"/>
      <c r="J10" s="223">
        <f t="shared" si="9"/>
        <v>0</v>
      </c>
      <c r="K10" s="228"/>
      <c r="L10" s="228"/>
      <c r="M10" s="228"/>
      <c r="N10" s="228"/>
      <c r="O10" s="228"/>
      <c r="Q10" s="321"/>
      <c r="R10" s="28"/>
      <c r="S10" s="23"/>
      <c r="T10" s="28"/>
      <c r="U10" s="28"/>
      <c r="V10" s="23"/>
      <c r="W10" s="28"/>
      <c r="X10" s="23"/>
      <c r="Y10" s="28"/>
      <c r="Z10" s="23"/>
      <c r="AA10" s="28"/>
      <c r="AB10" s="23"/>
      <c r="AC10" s="241"/>
      <c r="AD10" s="23"/>
      <c r="AE10" s="241"/>
      <c r="AF10" s="241"/>
    </row>
    <row r="11" spans="1:32" ht="25.8">
      <c r="A11" s="18"/>
      <c r="B11" s="16"/>
      <c r="C11" s="18"/>
      <c r="D11" s="18"/>
      <c r="E11" s="18"/>
      <c r="F11" s="114"/>
      <c r="G11" s="240"/>
      <c r="H11" s="256"/>
      <c r="I11" s="114"/>
      <c r="J11" s="223">
        <f t="shared" si="9"/>
        <v>0</v>
      </c>
      <c r="K11" s="228"/>
      <c r="L11" s="228"/>
      <c r="M11" s="228"/>
      <c r="N11" s="228"/>
      <c r="O11" s="228"/>
      <c r="Q11" s="321"/>
      <c r="R11" s="28"/>
      <c r="S11" s="23"/>
      <c r="T11" s="28"/>
      <c r="U11" s="28"/>
      <c r="V11" s="23"/>
      <c r="W11" s="28"/>
      <c r="X11" s="23"/>
      <c r="Y11" s="28"/>
      <c r="Z11" s="23"/>
      <c r="AA11" s="28"/>
      <c r="AB11" s="23"/>
      <c r="AC11" s="241"/>
      <c r="AD11" s="23"/>
      <c r="AE11" s="241"/>
      <c r="AF11" s="241"/>
    </row>
    <row r="12" spans="1:32" ht="25.8">
      <c r="A12" s="18"/>
      <c r="B12" s="16"/>
      <c r="C12" s="18"/>
      <c r="D12" s="18"/>
      <c r="E12" s="18"/>
      <c r="F12" s="114"/>
      <c r="G12" s="240"/>
      <c r="H12" s="256">
        <f t="shared" ref="H12:H13" si="11">COUNTIF(R12:AD12,"Done")</f>
        <v>0</v>
      </c>
      <c r="I12" s="114"/>
      <c r="J12" s="223">
        <f t="shared" si="9"/>
        <v>0</v>
      </c>
      <c r="K12" s="228"/>
      <c r="L12" s="228"/>
      <c r="M12" s="228"/>
      <c r="N12" s="228"/>
      <c r="O12" s="228"/>
      <c r="Q12" s="321"/>
      <c r="R12" s="28"/>
      <c r="S12" s="23"/>
      <c r="T12" s="28"/>
      <c r="U12" s="28"/>
      <c r="V12" s="23"/>
      <c r="W12" s="28"/>
      <c r="X12" s="23"/>
      <c r="Y12" s="28"/>
      <c r="Z12" s="23"/>
      <c r="AA12" s="28"/>
      <c r="AB12" s="23"/>
      <c r="AC12" s="241"/>
      <c r="AD12" s="23"/>
      <c r="AE12" s="241"/>
      <c r="AF12" s="241"/>
    </row>
    <row r="13" spans="1:32" ht="25.8">
      <c r="A13" s="18"/>
      <c r="B13" s="16"/>
      <c r="C13" s="18"/>
      <c r="D13" s="18"/>
      <c r="E13" s="18"/>
      <c r="F13" s="114"/>
      <c r="G13" s="240"/>
      <c r="H13" s="256">
        <f t="shared" si="11"/>
        <v>0</v>
      </c>
      <c r="I13" s="114"/>
      <c r="J13" s="223">
        <f t="shared" si="9"/>
        <v>0</v>
      </c>
      <c r="K13" s="228"/>
      <c r="L13" s="228"/>
      <c r="M13" s="228"/>
      <c r="N13" s="228"/>
      <c r="O13" s="228"/>
      <c r="Q13" s="321"/>
      <c r="R13" s="28"/>
      <c r="S13" s="23"/>
      <c r="T13" s="28"/>
      <c r="U13" s="28"/>
      <c r="V13" s="23"/>
      <c r="W13" s="28"/>
      <c r="X13" s="23"/>
      <c r="Y13" s="28"/>
      <c r="Z13" s="23"/>
      <c r="AA13" s="28"/>
      <c r="AB13" s="23"/>
      <c r="AC13" s="241"/>
      <c r="AD13" s="23"/>
      <c r="AE13" s="241"/>
      <c r="AF13" s="241"/>
    </row>
    <row r="14" spans="1:32" ht="14.4">
      <c r="A14" s="18"/>
      <c r="B14" s="16"/>
      <c r="C14" s="18"/>
      <c r="D14" s="18"/>
      <c r="E14" s="18"/>
      <c r="F14" s="114"/>
      <c r="G14" s="240"/>
      <c r="H14" s="240"/>
      <c r="I14" s="114"/>
      <c r="J14" s="223">
        <f t="shared" si="9"/>
        <v>0</v>
      </c>
      <c r="K14" s="228"/>
      <c r="L14" s="228"/>
      <c r="M14" s="228"/>
      <c r="N14" s="228"/>
      <c r="O14" s="228"/>
      <c r="Q14" s="321"/>
      <c r="R14" s="28"/>
      <c r="S14" s="23"/>
      <c r="T14" s="28"/>
      <c r="U14" s="28"/>
      <c r="V14" s="23"/>
      <c r="W14" s="28"/>
      <c r="X14" s="23"/>
      <c r="Y14" s="28"/>
      <c r="Z14" s="23"/>
      <c r="AA14" s="28"/>
      <c r="AB14" s="23"/>
      <c r="AC14" s="241"/>
      <c r="AD14" s="23"/>
      <c r="AE14" s="241"/>
      <c r="AF14" s="241"/>
    </row>
    <row r="15" spans="1:32" ht="14.4">
      <c r="A15" s="18"/>
      <c r="B15" s="16"/>
      <c r="C15" s="18"/>
      <c r="D15" s="18"/>
      <c r="E15" s="18"/>
      <c r="F15" s="114"/>
      <c r="G15" s="240"/>
      <c r="H15" s="240"/>
      <c r="I15" s="114"/>
      <c r="J15" s="223">
        <f t="shared" si="9"/>
        <v>0</v>
      </c>
      <c r="K15" s="228"/>
      <c r="L15" s="228"/>
      <c r="M15" s="228"/>
      <c r="N15" s="228"/>
      <c r="O15" s="228"/>
      <c r="Q15" s="321"/>
      <c r="R15" s="28"/>
      <c r="S15" s="23"/>
      <c r="T15" s="28"/>
      <c r="U15" s="28"/>
      <c r="V15" s="23"/>
      <c r="W15" s="28"/>
      <c r="X15" s="23"/>
      <c r="Y15" s="28"/>
      <c r="Z15" s="23"/>
      <c r="AA15" s="28"/>
      <c r="AB15" s="23"/>
      <c r="AC15" s="241"/>
      <c r="AD15" s="23"/>
      <c r="AE15" s="241"/>
      <c r="AF15" s="241"/>
    </row>
    <row r="16" spans="1:32" ht="14.4">
      <c r="A16" s="18"/>
      <c r="B16" s="16"/>
      <c r="C16" s="18"/>
      <c r="D16" s="18"/>
      <c r="E16" s="18"/>
      <c r="F16" s="114"/>
      <c r="G16" s="240"/>
      <c r="H16" s="240"/>
      <c r="I16" s="114"/>
      <c r="J16" s="223">
        <f t="shared" si="9"/>
        <v>0</v>
      </c>
      <c r="K16" s="228"/>
      <c r="L16" s="228"/>
      <c r="M16" s="228"/>
      <c r="N16" s="228"/>
      <c r="O16" s="228"/>
      <c r="Q16" s="321"/>
      <c r="R16" s="28"/>
      <c r="S16" s="23"/>
      <c r="T16" s="28"/>
      <c r="U16" s="28"/>
      <c r="V16" s="23"/>
      <c r="W16" s="28"/>
      <c r="X16" s="23"/>
      <c r="Y16" s="28"/>
      <c r="Z16" s="23"/>
      <c r="AA16" s="28"/>
      <c r="AB16" s="23"/>
      <c r="AC16" s="241"/>
      <c r="AD16" s="23"/>
      <c r="AE16" s="241"/>
      <c r="AF16" s="241"/>
    </row>
    <row r="17" spans="1:32" ht="14.4">
      <c r="A17" s="18"/>
      <c r="B17" s="16"/>
      <c r="C17" s="18"/>
      <c r="D17" s="18"/>
      <c r="E17" s="18"/>
      <c r="F17" s="114"/>
      <c r="G17" s="240"/>
      <c r="H17" s="240"/>
      <c r="I17" s="114"/>
      <c r="J17" s="223">
        <f t="shared" si="9"/>
        <v>0</v>
      </c>
      <c r="K17" s="228"/>
      <c r="L17" s="228"/>
      <c r="M17" s="228"/>
      <c r="N17" s="228"/>
      <c r="O17" s="228"/>
      <c r="Q17" s="321"/>
      <c r="R17" s="28"/>
      <c r="S17" s="23"/>
      <c r="T17" s="28"/>
      <c r="U17" s="28"/>
      <c r="V17" s="23"/>
      <c r="W17" s="28"/>
      <c r="X17" s="23"/>
      <c r="Y17" s="28"/>
      <c r="Z17" s="23"/>
      <c r="AA17" s="28"/>
      <c r="AB17" s="23"/>
      <c r="AC17" s="241"/>
      <c r="AD17" s="23"/>
      <c r="AE17" s="241"/>
      <c r="AF17" s="241"/>
    </row>
    <row r="18" spans="1:32" ht="14.4">
      <c r="A18" s="18"/>
      <c r="B18" s="16"/>
      <c r="C18" s="18"/>
      <c r="D18" s="18"/>
      <c r="E18" s="18"/>
      <c r="F18" s="114"/>
      <c r="G18" s="240"/>
      <c r="H18" s="240"/>
      <c r="I18" s="114"/>
      <c r="J18" s="223">
        <f t="shared" si="9"/>
        <v>0</v>
      </c>
      <c r="K18" s="228"/>
      <c r="L18" s="228"/>
      <c r="M18" s="228"/>
      <c r="N18" s="228"/>
      <c r="O18" s="228"/>
      <c r="Q18" s="321"/>
      <c r="R18" s="28"/>
      <c r="S18" s="23"/>
      <c r="T18" s="28"/>
      <c r="U18" s="28"/>
      <c r="V18" s="23"/>
      <c r="W18" s="28"/>
      <c r="X18" s="23"/>
      <c r="Y18" s="28"/>
      <c r="Z18" s="23"/>
      <c r="AA18" s="28"/>
      <c r="AB18" s="23"/>
      <c r="AC18" s="241"/>
      <c r="AD18" s="23"/>
      <c r="AE18" s="241"/>
      <c r="AF18" s="241"/>
    </row>
    <row r="19" spans="1:32" ht="14.4">
      <c r="A19" s="18"/>
      <c r="B19" s="16"/>
      <c r="C19" s="18"/>
      <c r="D19" s="18"/>
      <c r="E19" s="18"/>
      <c r="F19" s="114"/>
      <c r="G19" s="240"/>
      <c r="H19" s="240"/>
      <c r="I19" s="114"/>
      <c r="J19" s="223">
        <f t="shared" si="9"/>
        <v>0</v>
      </c>
      <c r="Q19" s="321"/>
      <c r="R19" s="28"/>
      <c r="S19" s="23"/>
      <c r="T19" s="28"/>
      <c r="U19" s="28"/>
      <c r="V19" s="23"/>
      <c r="W19" s="28"/>
      <c r="X19" s="23"/>
      <c r="Y19" s="28"/>
      <c r="Z19" s="23"/>
      <c r="AA19" s="28"/>
      <c r="AB19" s="23"/>
      <c r="AC19" s="241"/>
      <c r="AD19" s="23"/>
      <c r="AE19" s="241"/>
      <c r="AF19" s="241"/>
    </row>
    <row r="20" spans="1:32" ht="14.4">
      <c r="A20" s="18"/>
      <c r="B20" s="16"/>
      <c r="C20" s="18"/>
      <c r="D20" s="18"/>
      <c r="E20" s="18"/>
      <c r="F20" s="114"/>
      <c r="G20" s="240"/>
      <c r="H20" s="240"/>
      <c r="I20" s="114"/>
      <c r="J20" s="223">
        <f t="shared" si="9"/>
        <v>0</v>
      </c>
      <c r="Q20" s="321"/>
      <c r="R20" s="28"/>
      <c r="S20" s="23"/>
      <c r="T20" s="28"/>
      <c r="U20" s="28"/>
      <c r="V20" s="23"/>
      <c r="W20" s="28"/>
      <c r="X20" s="23"/>
      <c r="Y20" s="28"/>
      <c r="Z20" s="23"/>
      <c r="AA20" s="28"/>
      <c r="AB20" s="23"/>
      <c r="AC20" s="241"/>
      <c r="AD20" s="23"/>
      <c r="AE20" s="241"/>
      <c r="AF20" s="241"/>
    </row>
    <row r="21" spans="1:32" ht="14.4">
      <c r="A21" s="18"/>
      <c r="B21" s="16"/>
      <c r="C21" s="18"/>
      <c r="D21" s="18"/>
      <c r="E21" s="18"/>
      <c r="F21" s="114"/>
      <c r="G21" s="240"/>
      <c r="H21" s="240"/>
      <c r="I21" s="114"/>
      <c r="J21" s="223">
        <f t="shared" si="9"/>
        <v>0</v>
      </c>
      <c r="Q21" s="321"/>
      <c r="R21" s="28"/>
      <c r="S21" s="23"/>
      <c r="T21" s="28"/>
      <c r="U21" s="28"/>
      <c r="V21" s="23"/>
      <c r="W21" s="28"/>
      <c r="X21" s="23"/>
      <c r="Y21" s="28"/>
      <c r="Z21" s="23"/>
      <c r="AA21" s="28"/>
      <c r="AB21" s="23"/>
      <c r="AC21" s="241"/>
      <c r="AD21" s="23"/>
      <c r="AE21" s="241"/>
      <c r="AF21" s="241"/>
    </row>
    <row r="22" spans="1:32" ht="14.4">
      <c r="A22" s="18"/>
      <c r="B22" s="16"/>
      <c r="C22" s="18"/>
      <c r="D22" s="18"/>
      <c r="E22" s="18"/>
      <c r="F22" s="114"/>
      <c r="G22" s="240"/>
      <c r="H22" s="240"/>
      <c r="I22" s="114"/>
      <c r="J22" s="223">
        <f t="shared" si="9"/>
        <v>0</v>
      </c>
      <c r="Q22" s="321"/>
      <c r="R22" s="28"/>
      <c r="S22" s="23"/>
      <c r="T22" s="28"/>
      <c r="U22" s="28"/>
      <c r="V22" s="23"/>
      <c r="W22" s="28"/>
      <c r="X22" s="23"/>
      <c r="Y22" s="28"/>
      <c r="Z22" s="23"/>
      <c r="AA22" s="28"/>
      <c r="AB22" s="23"/>
      <c r="AC22" s="241"/>
      <c r="AD22" s="23"/>
      <c r="AE22" s="241"/>
      <c r="AF22" s="241"/>
    </row>
    <row r="23" spans="1:32" ht="14.4">
      <c r="A23" s="18"/>
      <c r="B23" s="16"/>
      <c r="C23" s="18"/>
      <c r="D23" s="18"/>
      <c r="E23" s="18"/>
      <c r="F23" s="114"/>
      <c r="G23" s="240"/>
      <c r="H23" s="240"/>
      <c r="I23" s="114"/>
      <c r="J23" s="223">
        <f t="shared" si="9"/>
        <v>0</v>
      </c>
      <c r="Q23" s="321"/>
      <c r="R23" s="28"/>
      <c r="S23" s="23"/>
      <c r="T23" s="28"/>
      <c r="U23" s="28"/>
      <c r="V23" s="23"/>
      <c r="W23" s="28"/>
      <c r="X23" s="23"/>
      <c r="Y23" s="28"/>
      <c r="Z23" s="23"/>
      <c r="AA23" s="28"/>
      <c r="AB23" s="23"/>
      <c r="AC23" s="241"/>
      <c r="AD23" s="23"/>
      <c r="AE23" s="241"/>
      <c r="AF23" s="241"/>
    </row>
    <row r="24" spans="1:32" ht="14.4">
      <c r="A24" s="18"/>
      <c r="B24" s="16"/>
      <c r="C24" s="18"/>
      <c r="D24" s="18"/>
      <c r="E24" s="18"/>
      <c r="F24" s="114"/>
      <c r="G24" s="240"/>
      <c r="H24" s="240"/>
      <c r="I24" s="114"/>
      <c r="J24" s="223">
        <f t="shared" si="9"/>
        <v>0</v>
      </c>
      <c r="Q24" s="321"/>
      <c r="R24" s="28"/>
      <c r="S24" s="23"/>
      <c r="T24" s="28"/>
      <c r="U24" s="28"/>
      <c r="V24" s="23"/>
      <c r="W24" s="28"/>
      <c r="X24" s="23"/>
      <c r="Y24" s="28"/>
      <c r="Z24" s="23"/>
      <c r="AA24" s="28"/>
      <c r="AB24" s="23"/>
      <c r="AC24" s="241"/>
      <c r="AD24" s="23"/>
      <c r="AE24" s="241"/>
      <c r="AF24" s="241"/>
    </row>
    <row r="25" spans="1:32" ht="14.4">
      <c r="A25" s="18"/>
      <c r="B25" s="16"/>
      <c r="C25" s="18"/>
      <c r="D25" s="18"/>
      <c r="E25" s="18"/>
      <c r="F25" s="114"/>
      <c r="G25" s="240"/>
      <c r="H25" s="240"/>
      <c r="I25" s="114"/>
      <c r="J25" s="223">
        <f t="shared" si="9"/>
        <v>0</v>
      </c>
      <c r="Q25" s="321"/>
      <c r="R25" s="28"/>
      <c r="S25" s="23"/>
      <c r="T25" s="28"/>
      <c r="U25" s="28"/>
      <c r="V25" s="23"/>
      <c r="W25" s="28"/>
      <c r="X25" s="23"/>
      <c r="Y25" s="28"/>
      <c r="Z25" s="23"/>
      <c r="AA25" s="28"/>
      <c r="AB25" s="23"/>
      <c r="AC25" s="241"/>
      <c r="AD25" s="23"/>
      <c r="AE25" s="241"/>
      <c r="AF25" s="241"/>
    </row>
    <row r="26" spans="1:32" ht="14.4">
      <c r="A26" s="18"/>
      <c r="B26" s="16"/>
      <c r="C26" s="18"/>
      <c r="D26" s="18"/>
      <c r="E26" s="18"/>
      <c r="F26" s="114"/>
      <c r="G26" s="240"/>
      <c r="H26" s="240"/>
      <c r="I26" s="114"/>
      <c r="J26" s="223">
        <f t="shared" si="9"/>
        <v>0</v>
      </c>
      <c r="Q26" s="321"/>
      <c r="R26" s="28"/>
      <c r="S26" s="23"/>
      <c r="T26" s="28"/>
      <c r="U26" s="28"/>
      <c r="V26" s="23"/>
      <c r="W26" s="28"/>
      <c r="X26" s="23"/>
      <c r="Y26" s="28"/>
      <c r="Z26" s="23"/>
      <c r="AA26" s="28"/>
      <c r="AB26" s="23"/>
      <c r="AC26" s="241"/>
      <c r="AD26" s="23"/>
      <c r="AE26" s="241"/>
      <c r="AF26" s="241"/>
    </row>
    <row r="27" spans="1:32" ht="14.4">
      <c r="A27" s="18"/>
      <c r="B27" s="16"/>
      <c r="C27" s="18"/>
      <c r="D27" s="18"/>
      <c r="E27" s="18"/>
      <c r="F27" s="114"/>
      <c r="G27" s="240"/>
      <c r="H27" s="240"/>
      <c r="I27" s="114"/>
      <c r="J27" s="223">
        <f t="shared" si="9"/>
        <v>0</v>
      </c>
      <c r="Q27" s="321"/>
      <c r="R27" s="28"/>
      <c r="S27" s="23"/>
      <c r="T27" s="28"/>
      <c r="U27" s="28"/>
      <c r="V27" s="23"/>
      <c r="W27" s="28"/>
      <c r="X27" s="23"/>
      <c r="Y27" s="28"/>
      <c r="Z27" s="23"/>
      <c r="AA27" s="28"/>
      <c r="AB27" s="23"/>
      <c r="AC27" s="241"/>
      <c r="AD27" s="23"/>
      <c r="AE27" s="241"/>
      <c r="AF27" s="241"/>
    </row>
    <row r="28" spans="1:32" ht="14.4">
      <c r="A28" s="18"/>
      <c r="B28" s="16"/>
      <c r="C28" s="18"/>
      <c r="D28" s="18"/>
      <c r="E28" s="18"/>
      <c r="F28" s="114"/>
      <c r="G28" s="240"/>
      <c r="H28" s="240"/>
      <c r="I28" s="114"/>
      <c r="J28" s="223">
        <f t="shared" si="9"/>
        <v>0</v>
      </c>
      <c r="Q28" s="321"/>
      <c r="R28" s="28"/>
      <c r="S28" s="23"/>
      <c r="T28" s="28"/>
      <c r="U28" s="28"/>
      <c r="V28" s="23"/>
      <c r="W28" s="28"/>
      <c r="X28" s="23"/>
      <c r="Y28" s="28"/>
      <c r="Z28" s="23"/>
      <c r="AA28" s="28"/>
      <c r="AB28" s="23"/>
      <c r="AC28" s="241"/>
      <c r="AD28" s="23"/>
      <c r="AE28" s="241"/>
      <c r="AF28" s="241"/>
    </row>
    <row r="29" spans="1:32" ht="14.4">
      <c r="A29" s="18"/>
      <c r="B29" s="16"/>
      <c r="C29" s="18"/>
      <c r="D29" s="18"/>
      <c r="E29" s="18"/>
      <c r="F29" s="114"/>
      <c r="G29" s="240"/>
      <c r="H29" s="240"/>
      <c r="I29" s="114"/>
      <c r="J29" s="223">
        <f t="shared" si="9"/>
        <v>0</v>
      </c>
      <c r="Q29" s="321"/>
      <c r="R29" s="28"/>
      <c r="S29" s="23"/>
      <c r="T29" s="28"/>
      <c r="U29" s="28"/>
      <c r="V29" s="23"/>
      <c r="W29" s="28"/>
      <c r="X29" s="23"/>
      <c r="Y29" s="28"/>
      <c r="Z29" s="23"/>
      <c r="AA29" s="28"/>
      <c r="AB29" s="23"/>
      <c r="AC29" s="241"/>
      <c r="AD29" s="23"/>
      <c r="AE29" s="241"/>
      <c r="AF29" s="241"/>
    </row>
    <row r="30" spans="1:32" ht="14.4">
      <c r="A30" s="18"/>
      <c r="B30" s="16"/>
      <c r="C30" s="18"/>
      <c r="D30" s="18"/>
      <c r="E30" s="18"/>
      <c r="F30" s="114"/>
      <c r="G30" s="240"/>
      <c r="H30" s="240"/>
      <c r="I30" s="114"/>
      <c r="J30" s="223">
        <f t="shared" si="9"/>
        <v>0</v>
      </c>
      <c r="Q30" s="321"/>
      <c r="R30" s="28"/>
      <c r="S30" s="23"/>
      <c r="T30" s="28"/>
      <c r="U30" s="28"/>
      <c r="V30" s="23"/>
      <c r="W30" s="28"/>
      <c r="X30" s="23"/>
      <c r="Y30" s="28"/>
      <c r="Z30" s="23"/>
      <c r="AA30" s="28"/>
      <c r="AB30" s="23"/>
      <c r="AC30" s="241"/>
      <c r="AD30" s="23"/>
      <c r="AE30" s="241"/>
      <c r="AF30" s="241"/>
    </row>
    <row r="31" spans="1:32" ht="14.4">
      <c r="A31" s="18"/>
      <c r="B31" s="16"/>
      <c r="C31" s="18"/>
      <c r="D31" s="18"/>
      <c r="E31" s="18"/>
      <c r="F31" s="114"/>
      <c r="G31" s="240"/>
      <c r="H31" s="240"/>
      <c r="I31" s="114"/>
      <c r="J31" s="223">
        <f t="shared" si="9"/>
        <v>0</v>
      </c>
      <c r="Q31" s="321"/>
      <c r="R31" s="28"/>
      <c r="S31" s="23"/>
      <c r="T31" s="28"/>
      <c r="U31" s="28"/>
      <c r="V31" s="23"/>
      <c r="W31" s="28"/>
      <c r="X31" s="23"/>
      <c r="Y31" s="28"/>
      <c r="Z31" s="23"/>
      <c r="AA31" s="28"/>
      <c r="AB31" s="23"/>
      <c r="AC31" s="241"/>
      <c r="AD31" s="23"/>
      <c r="AE31" s="241"/>
      <c r="AF31" s="241"/>
    </row>
    <row r="32" spans="1:32" ht="14.4">
      <c r="A32" s="18"/>
      <c r="B32" s="16"/>
      <c r="C32" s="18"/>
      <c r="D32" s="18"/>
      <c r="E32" s="18"/>
      <c r="F32" s="114"/>
      <c r="G32" s="240"/>
      <c r="H32" s="240"/>
      <c r="I32" s="114"/>
      <c r="J32" s="223">
        <f t="shared" si="9"/>
        <v>0</v>
      </c>
      <c r="Q32" s="321"/>
      <c r="R32" s="28"/>
      <c r="S32" s="23"/>
      <c r="T32" s="28"/>
      <c r="U32" s="28"/>
      <c r="V32" s="23"/>
      <c r="W32" s="28"/>
      <c r="X32" s="23"/>
      <c r="Y32" s="28"/>
      <c r="Z32" s="23"/>
      <c r="AA32" s="28"/>
      <c r="AB32" s="23"/>
      <c r="AC32" s="241"/>
      <c r="AD32" s="23"/>
      <c r="AE32" s="241"/>
      <c r="AF32" s="241"/>
    </row>
    <row r="33" spans="1:32" ht="14.4">
      <c r="A33" s="18"/>
      <c r="B33" s="16"/>
      <c r="C33" s="18"/>
      <c r="D33" s="18"/>
      <c r="E33" s="18"/>
      <c r="F33" s="114"/>
      <c r="G33" s="240"/>
      <c r="H33" s="240"/>
      <c r="I33" s="114"/>
      <c r="J33" s="223">
        <f t="shared" si="9"/>
        <v>0</v>
      </c>
      <c r="Q33" s="321"/>
      <c r="R33" s="28"/>
      <c r="S33" s="23"/>
      <c r="T33" s="28"/>
      <c r="U33" s="28"/>
      <c r="V33" s="23"/>
      <c r="W33" s="28"/>
      <c r="X33" s="23"/>
      <c r="Y33" s="28"/>
      <c r="Z33" s="23"/>
      <c r="AA33" s="28"/>
      <c r="AB33" s="23"/>
      <c r="AC33" s="241"/>
      <c r="AD33" s="23"/>
      <c r="AE33" s="241"/>
      <c r="AF33" s="241"/>
    </row>
    <row r="34" spans="1:32" ht="14.4">
      <c r="A34" s="18"/>
      <c r="B34" s="16"/>
      <c r="C34" s="18"/>
      <c r="D34" s="18"/>
      <c r="E34" s="18"/>
      <c r="F34" s="114"/>
      <c r="G34" s="240"/>
      <c r="H34" s="240"/>
      <c r="I34" s="114"/>
      <c r="J34" s="223">
        <f t="shared" si="9"/>
        <v>0</v>
      </c>
      <c r="Q34" s="321"/>
      <c r="R34" s="28"/>
      <c r="S34" s="23"/>
      <c r="T34" s="28"/>
      <c r="U34" s="28"/>
      <c r="V34" s="23"/>
      <c r="W34" s="28"/>
      <c r="X34" s="23"/>
      <c r="Y34" s="28"/>
      <c r="Z34" s="23"/>
      <c r="AA34" s="28"/>
      <c r="AB34" s="23"/>
      <c r="AC34" s="241"/>
      <c r="AD34" s="23"/>
      <c r="AE34" s="241"/>
      <c r="AF34" s="241"/>
    </row>
    <row r="35" spans="1:32" ht="14.4">
      <c r="A35"/>
      <c r="B35" s="3"/>
      <c r="C35"/>
      <c r="D35"/>
      <c r="E35"/>
      <c r="G35" s="232"/>
      <c r="H35" s="232"/>
      <c r="J35" s="223">
        <f t="shared" si="9"/>
        <v>0</v>
      </c>
      <c r="R35" s="4"/>
      <c r="S35" s="24"/>
      <c r="T35" s="4"/>
      <c r="U35" s="4"/>
      <c r="V35" s="24"/>
      <c r="W35" s="4"/>
      <c r="X35" s="24"/>
      <c r="Y35" s="4"/>
      <c r="Z35" s="24"/>
      <c r="AA35" s="4"/>
      <c r="AB35" s="24"/>
      <c r="AC35" s="218"/>
      <c r="AD35" s="24"/>
      <c r="AE35" s="218"/>
      <c r="AF35" s="218"/>
    </row>
    <row r="36" spans="1:32" ht="14.4">
      <c r="A36"/>
      <c r="B36" s="3"/>
      <c r="C36"/>
      <c r="D36"/>
      <c r="E36"/>
      <c r="G36" s="232"/>
      <c r="H36" s="232"/>
      <c r="J36" s="223">
        <f t="shared" si="9"/>
        <v>0</v>
      </c>
      <c r="R36" s="4"/>
      <c r="S36" s="24"/>
      <c r="T36" s="4"/>
      <c r="U36" s="4"/>
      <c r="V36" s="24"/>
      <c r="W36" s="4"/>
      <c r="X36" s="24"/>
      <c r="Y36" s="4"/>
      <c r="Z36" s="24"/>
      <c r="AA36" s="4"/>
      <c r="AB36" s="24"/>
      <c r="AC36" s="218"/>
      <c r="AD36" s="24"/>
      <c r="AE36" s="218"/>
      <c r="AF36" s="218"/>
    </row>
    <row r="37" spans="1:32" ht="14.4">
      <c r="A37"/>
      <c r="B37" s="3"/>
      <c r="C37"/>
      <c r="D37"/>
      <c r="E37"/>
      <c r="G37" s="232"/>
      <c r="H37" s="232"/>
      <c r="J37" s="223">
        <f t="shared" si="9"/>
        <v>0</v>
      </c>
      <c r="R37" s="4"/>
      <c r="S37" s="24"/>
      <c r="T37" s="4"/>
      <c r="U37" s="4"/>
      <c r="V37" s="24"/>
      <c r="W37" s="4"/>
      <c r="X37" s="24"/>
      <c r="Y37" s="4"/>
      <c r="Z37" s="24"/>
      <c r="AA37" s="4"/>
      <c r="AB37" s="24"/>
      <c r="AC37" s="218"/>
      <c r="AD37" s="24"/>
      <c r="AE37" s="218"/>
      <c r="AF37" s="218"/>
    </row>
    <row r="38" spans="1:32" ht="14.4">
      <c r="J38" s="223">
        <f t="shared" si="9"/>
        <v>0</v>
      </c>
      <c r="R38" s="4"/>
      <c r="S38" s="24"/>
      <c r="T38" s="4"/>
      <c r="U38" s="4"/>
      <c r="V38" s="24"/>
      <c r="W38" s="4"/>
      <c r="X38" s="24"/>
      <c r="Y38" s="4"/>
      <c r="Z38" s="24"/>
      <c r="AA38" s="4"/>
      <c r="AB38" s="24"/>
      <c r="AC38" s="218"/>
      <c r="AD38" s="24"/>
      <c r="AE38" s="218"/>
      <c r="AF38" s="218"/>
    </row>
    <row r="39" spans="1:32" ht="14.4">
      <c r="J39" s="223">
        <f t="shared" si="9"/>
        <v>0</v>
      </c>
      <c r="R39" s="4"/>
      <c r="S39" s="24"/>
      <c r="T39" s="4"/>
      <c r="U39" s="4"/>
      <c r="V39" s="24"/>
      <c r="W39" s="4"/>
      <c r="X39" s="24"/>
      <c r="Y39" s="4"/>
      <c r="Z39" s="24"/>
      <c r="AA39" s="4"/>
      <c r="AB39" s="24"/>
      <c r="AC39" s="218"/>
      <c r="AD39" s="24"/>
      <c r="AE39" s="218"/>
      <c r="AF39" s="218"/>
    </row>
    <row r="40" spans="1:32" ht="14.4">
      <c r="J40" s="223">
        <f t="shared" si="9"/>
        <v>0</v>
      </c>
      <c r="R40" s="4"/>
      <c r="S40" s="24"/>
      <c r="T40" s="4"/>
      <c r="U40" s="4"/>
      <c r="V40" s="24"/>
      <c r="W40" s="4"/>
      <c r="X40" s="24"/>
      <c r="Y40" s="4"/>
      <c r="Z40" s="24"/>
      <c r="AA40" s="4"/>
      <c r="AB40" s="24"/>
      <c r="AC40" s="218"/>
      <c r="AD40" s="24"/>
      <c r="AE40" s="218"/>
      <c r="AF40" s="218"/>
    </row>
    <row r="41" spans="1:32" ht="14.4">
      <c r="J41" s="223">
        <f t="shared" si="9"/>
        <v>0</v>
      </c>
      <c r="R41" s="4"/>
      <c r="S41" s="24"/>
      <c r="T41" s="4"/>
      <c r="U41" s="4"/>
      <c r="V41" s="24"/>
      <c r="W41" s="4"/>
      <c r="X41" s="24"/>
      <c r="Y41" s="4"/>
      <c r="Z41" s="24"/>
      <c r="AA41" s="4"/>
      <c r="AB41" s="24"/>
      <c r="AC41" s="218"/>
      <c r="AD41" s="24"/>
      <c r="AE41" s="218"/>
      <c r="AF41" s="218"/>
    </row>
    <row r="42" spans="1:32" ht="14.4">
      <c r="J42" s="223">
        <f t="shared" si="9"/>
        <v>0</v>
      </c>
      <c r="R42" s="4"/>
      <c r="S42" s="24"/>
      <c r="T42" s="4"/>
      <c r="U42" s="4"/>
      <c r="V42" s="24"/>
      <c r="W42" s="4"/>
      <c r="X42" s="24"/>
      <c r="Y42" s="4"/>
      <c r="Z42" s="24"/>
      <c r="AA42" s="4"/>
      <c r="AB42" s="24"/>
      <c r="AC42" s="218"/>
      <c r="AD42" s="24"/>
      <c r="AE42" s="218"/>
      <c r="AF42" s="218"/>
    </row>
    <row r="43" spans="1:32" ht="14.4">
      <c r="J43" s="223">
        <f t="shared" si="9"/>
        <v>0</v>
      </c>
      <c r="R43" s="4"/>
      <c r="S43" s="24"/>
      <c r="T43" s="4"/>
      <c r="U43" s="4"/>
      <c r="V43" s="24"/>
      <c r="W43" s="4"/>
      <c r="X43" s="24"/>
      <c r="Y43" s="4"/>
      <c r="Z43" s="24"/>
      <c r="AA43" s="4"/>
      <c r="AB43" s="24"/>
      <c r="AC43" s="218"/>
      <c r="AD43" s="24"/>
      <c r="AE43" s="218"/>
      <c r="AF43" s="218"/>
    </row>
    <row r="44" spans="1:32" ht="14.4">
      <c r="J44" s="223">
        <f t="shared" si="9"/>
        <v>0</v>
      </c>
      <c r="R44" s="4"/>
      <c r="S44" s="24"/>
      <c r="T44" s="4"/>
      <c r="U44" s="4"/>
      <c r="V44" s="24"/>
      <c r="W44" s="4"/>
      <c r="X44" s="24"/>
      <c r="Y44" s="4"/>
      <c r="Z44" s="24"/>
      <c r="AA44" s="4"/>
      <c r="AB44" s="24"/>
      <c r="AC44" s="218"/>
      <c r="AD44" s="24"/>
      <c r="AE44" s="218"/>
      <c r="AF44" s="218"/>
    </row>
    <row r="45" spans="1:32" ht="14.4">
      <c r="J45" s="223">
        <f t="shared" si="9"/>
        <v>0</v>
      </c>
      <c r="R45" s="4"/>
      <c r="S45" s="24"/>
      <c r="T45" s="4"/>
      <c r="U45" s="4"/>
      <c r="V45" s="24"/>
      <c r="W45" s="4"/>
      <c r="X45" s="24"/>
      <c r="Y45" s="4"/>
      <c r="Z45" s="24"/>
      <c r="AA45" s="4"/>
      <c r="AB45" s="24"/>
      <c r="AC45" s="218"/>
      <c r="AD45" s="24"/>
      <c r="AE45" s="218"/>
      <c r="AF45" s="218"/>
    </row>
    <row r="46" spans="1:32" ht="14.4">
      <c r="J46" s="223">
        <f t="shared" si="9"/>
        <v>0</v>
      </c>
      <c r="R46" s="4"/>
      <c r="S46" s="24"/>
      <c r="T46" s="4"/>
      <c r="U46" s="4"/>
      <c r="V46" s="24"/>
      <c r="W46" s="4"/>
      <c r="X46" s="24"/>
      <c r="Y46" s="4"/>
      <c r="Z46" s="24"/>
      <c r="AA46" s="4"/>
      <c r="AB46" s="24"/>
      <c r="AC46" s="218"/>
      <c r="AD46" s="24"/>
      <c r="AE46" s="218"/>
      <c r="AF46" s="218"/>
    </row>
    <row r="47" spans="1:32" ht="14.4">
      <c r="J47" s="223">
        <f t="shared" si="9"/>
        <v>0</v>
      </c>
      <c r="R47" s="4"/>
      <c r="S47" s="24"/>
      <c r="T47" s="4"/>
      <c r="U47" s="4"/>
      <c r="V47" s="24"/>
      <c r="W47" s="4"/>
      <c r="X47" s="24"/>
      <c r="Y47" s="4"/>
      <c r="Z47" s="24"/>
      <c r="AA47" s="4"/>
      <c r="AB47" s="24"/>
      <c r="AC47" s="218"/>
      <c r="AD47" s="24"/>
      <c r="AE47" s="218"/>
      <c r="AF47" s="218"/>
    </row>
    <row r="48" spans="1:32" ht="14.4">
      <c r="J48" s="223">
        <f t="shared" si="9"/>
        <v>0</v>
      </c>
      <c r="R48" s="4"/>
      <c r="S48" s="24"/>
      <c r="T48" s="4"/>
      <c r="U48" s="4"/>
      <c r="V48" s="24"/>
      <c r="W48" s="4"/>
      <c r="X48" s="24"/>
      <c r="Y48" s="4"/>
      <c r="Z48" s="24"/>
      <c r="AA48" s="4"/>
      <c r="AB48" s="24"/>
      <c r="AC48" s="218"/>
      <c r="AD48" s="24"/>
      <c r="AE48" s="218"/>
      <c r="AF48" s="218"/>
    </row>
    <row r="49" spans="10:32" ht="14.4">
      <c r="J49" s="223">
        <f t="shared" si="9"/>
        <v>0</v>
      </c>
      <c r="R49" s="4"/>
      <c r="S49" s="24"/>
      <c r="T49" s="4"/>
      <c r="U49" s="4"/>
      <c r="V49" s="24"/>
      <c r="W49" s="4"/>
      <c r="X49" s="24"/>
      <c r="Y49" s="4"/>
      <c r="Z49" s="24"/>
      <c r="AA49" s="4"/>
      <c r="AB49" s="24"/>
      <c r="AC49" s="218"/>
      <c r="AD49" s="24"/>
      <c r="AE49" s="218"/>
      <c r="AF49" s="218"/>
    </row>
    <row r="50" spans="10:32" ht="14.4">
      <c r="J50" s="223">
        <f t="shared" si="9"/>
        <v>0</v>
      </c>
      <c r="R50" s="4"/>
      <c r="S50" s="24"/>
      <c r="T50" s="4"/>
      <c r="U50" s="4"/>
      <c r="V50" s="24"/>
      <c r="W50" s="4"/>
      <c r="X50" s="24"/>
      <c r="Y50" s="4"/>
      <c r="Z50" s="24"/>
      <c r="AA50" s="4"/>
      <c r="AB50" s="24"/>
      <c r="AC50" s="218"/>
      <c r="AD50" s="24"/>
      <c r="AE50" s="218"/>
      <c r="AF50" s="218"/>
    </row>
    <row r="51" spans="10:32" ht="14.4">
      <c r="J51" s="223">
        <f t="shared" si="9"/>
        <v>0</v>
      </c>
      <c r="R51" s="4"/>
      <c r="S51" s="24"/>
      <c r="T51" s="4"/>
      <c r="U51" s="4"/>
      <c r="V51" s="24"/>
      <c r="W51" s="4"/>
      <c r="X51" s="24"/>
      <c r="Y51" s="4"/>
      <c r="Z51" s="24"/>
      <c r="AA51" s="4"/>
      <c r="AB51" s="24"/>
      <c r="AC51" s="218"/>
      <c r="AD51" s="24"/>
      <c r="AE51" s="218"/>
      <c r="AF51" s="218"/>
    </row>
    <row r="52" spans="10:32" ht="14.4">
      <c r="J52" s="223">
        <f t="shared" si="9"/>
        <v>0</v>
      </c>
      <c r="R52" s="4"/>
      <c r="S52" s="24"/>
      <c r="T52" s="4"/>
      <c r="U52" s="4"/>
      <c r="V52" s="24"/>
      <c r="W52" s="4"/>
      <c r="X52" s="24"/>
      <c r="Y52" s="4"/>
      <c r="Z52" s="24"/>
      <c r="AA52" s="4"/>
      <c r="AB52" s="24"/>
      <c r="AC52" s="218"/>
      <c r="AD52" s="24"/>
      <c r="AE52" s="218"/>
      <c r="AF52" s="218"/>
    </row>
    <row r="53" spans="10:32" ht="14.4">
      <c r="J53" s="223">
        <f t="shared" si="9"/>
        <v>0</v>
      </c>
      <c r="R53" s="4"/>
      <c r="S53" s="24"/>
      <c r="T53" s="4"/>
      <c r="U53" s="4"/>
      <c r="V53" s="24"/>
      <c r="W53" s="4"/>
      <c r="X53" s="24"/>
      <c r="Y53" s="4"/>
      <c r="Z53" s="24"/>
      <c r="AA53" s="4"/>
      <c r="AB53" s="24"/>
      <c r="AC53" s="218"/>
      <c r="AD53" s="24"/>
      <c r="AE53" s="218"/>
      <c r="AF53" s="218"/>
    </row>
    <row r="54" spans="10:32" ht="14.4">
      <c r="J54" s="223">
        <f t="shared" si="9"/>
        <v>0</v>
      </c>
      <c r="R54" s="4"/>
      <c r="S54" s="24"/>
      <c r="T54" s="4"/>
      <c r="U54" s="4"/>
      <c r="V54" s="24"/>
      <c r="W54" s="4"/>
      <c r="X54" s="24"/>
      <c r="Y54" s="4"/>
      <c r="Z54" s="24"/>
      <c r="AA54" s="4"/>
      <c r="AB54" s="24"/>
      <c r="AC54" s="218"/>
      <c r="AD54" s="24"/>
      <c r="AE54" s="218"/>
      <c r="AF54" s="218"/>
    </row>
    <row r="55" spans="10:32" ht="14.4">
      <c r="J55" s="223">
        <f t="shared" si="9"/>
        <v>0</v>
      </c>
      <c r="R55" s="4"/>
      <c r="S55" s="24"/>
      <c r="T55" s="4"/>
      <c r="U55" s="4"/>
      <c r="V55" s="24"/>
      <c r="W55" s="4"/>
      <c r="X55" s="24"/>
      <c r="Y55" s="4"/>
      <c r="Z55" s="24"/>
      <c r="AA55" s="4"/>
      <c r="AB55" s="24"/>
      <c r="AC55" s="218"/>
      <c r="AD55" s="24"/>
      <c r="AE55" s="218"/>
      <c r="AF55" s="218"/>
    </row>
    <row r="56" spans="10:32" ht="14.4">
      <c r="J56" s="223">
        <f t="shared" si="9"/>
        <v>0</v>
      </c>
      <c r="R56" s="4"/>
      <c r="S56" s="24"/>
      <c r="T56" s="4"/>
      <c r="U56" s="4"/>
      <c r="V56" s="24"/>
      <c r="W56" s="4"/>
      <c r="X56" s="24"/>
      <c r="Y56" s="4"/>
      <c r="Z56" s="24"/>
      <c r="AA56" s="4"/>
      <c r="AB56" s="24"/>
      <c r="AC56" s="218"/>
      <c r="AD56" s="24"/>
      <c r="AE56" s="218"/>
      <c r="AF56" s="218"/>
    </row>
    <row r="57" spans="10:32" ht="14.4">
      <c r="J57" s="223">
        <f t="shared" si="9"/>
        <v>0</v>
      </c>
      <c r="R57" s="4"/>
      <c r="S57" s="24"/>
      <c r="T57" s="4"/>
      <c r="U57" s="4"/>
      <c r="V57" s="24"/>
      <c r="W57" s="4"/>
      <c r="X57" s="24"/>
      <c r="Y57" s="4"/>
      <c r="Z57" s="24"/>
      <c r="AA57" s="4"/>
      <c r="AB57" s="24"/>
      <c r="AC57" s="218"/>
      <c r="AD57" s="24"/>
      <c r="AE57" s="218"/>
      <c r="AF57" s="218"/>
    </row>
    <row r="58" spans="10:32" ht="14.4">
      <c r="J58" s="223">
        <f t="shared" si="9"/>
        <v>0</v>
      </c>
      <c r="R58" s="4"/>
      <c r="S58" s="24"/>
      <c r="T58" s="4"/>
      <c r="U58" s="4"/>
      <c r="V58" s="24"/>
      <c r="W58" s="4"/>
      <c r="X58" s="24"/>
      <c r="Y58" s="4"/>
      <c r="Z58" s="24"/>
      <c r="AA58" s="4"/>
      <c r="AB58" s="24"/>
      <c r="AC58" s="218"/>
      <c r="AD58" s="24"/>
      <c r="AE58" s="218"/>
      <c r="AF58" s="218"/>
    </row>
    <row r="59" spans="10:32" ht="14.4">
      <c r="J59" s="223">
        <f t="shared" si="9"/>
        <v>0</v>
      </c>
      <c r="R59" s="4"/>
      <c r="S59" s="24"/>
      <c r="T59" s="4"/>
      <c r="U59" s="4"/>
      <c r="V59" s="24"/>
      <c r="W59" s="4"/>
      <c r="X59" s="24"/>
      <c r="Y59" s="4"/>
      <c r="Z59" s="24"/>
      <c r="AA59" s="4"/>
      <c r="AB59" s="24"/>
      <c r="AC59" s="218"/>
      <c r="AD59" s="24"/>
      <c r="AE59" s="218"/>
      <c r="AF59" s="218"/>
    </row>
    <row r="60" spans="10:32" ht="14.4">
      <c r="J60" s="223">
        <f t="shared" si="9"/>
        <v>0</v>
      </c>
      <c r="R60" s="4"/>
      <c r="S60" s="24"/>
      <c r="T60" s="4"/>
      <c r="U60" s="4"/>
      <c r="V60" s="24"/>
      <c r="W60" s="4"/>
      <c r="X60" s="24"/>
      <c r="Y60" s="4"/>
      <c r="Z60" s="24"/>
      <c r="AA60" s="4"/>
      <c r="AB60" s="24"/>
      <c r="AC60" s="218"/>
      <c r="AD60" s="24"/>
      <c r="AE60" s="218"/>
      <c r="AF60" s="218"/>
    </row>
    <row r="61" spans="10:32" ht="14.4">
      <c r="J61" s="223">
        <f t="shared" si="9"/>
        <v>0</v>
      </c>
      <c r="R61" s="4"/>
      <c r="S61" s="24"/>
      <c r="T61" s="4"/>
      <c r="U61" s="4"/>
      <c r="V61" s="24"/>
      <c r="W61" s="4"/>
      <c r="X61" s="24"/>
      <c r="Y61" s="4"/>
      <c r="Z61" s="24"/>
      <c r="AA61" s="4"/>
      <c r="AB61" s="24"/>
      <c r="AC61" s="218"/>
      <c r="AD61" s="24"/>
      <c r="AE61" s="218"/>
      <c r="AF61" s="218"/>
    </row>
    <row r="62" spans="10:32" ht="14.4">
      <c r="J62" s="223">
        <f t="shared" si="9"/>
        <v>0</v>
      </c>
      <c r="R62" s="4"/>
      <c r="S62" s="24"/>
      <c r="T62" s="4"/>
      <c r="U62" s="4"/>
      <c r="V62" s="24"/>
      <c r="W62" s="4"/>
      <c r="X62" s="24"/>
      <c r="Y62" s="4"/>
      <c r="Z62" s="24"/>
      <c r="AA62" s="4"/>
      <c r="AB62" s="24"/>
      <c r="AC62" s="218"/>
      <c r="AD62" s="24"/>
      <c r="AE62" s="218"/>
      <c r="AF62" s="218"/>
    </row>
    <row r="63" spans="10:32" ht="14.4">
      <c r="J63" s="223">
        <f t="shared" si="9"/>
        <v>0</v>
      </c>
      <c r="R63" s="4"/>
      <c r="S63" s="24"/>
      <c r="T63" s="4"/>
      <c r="U63" s="4"/>
      <c r="V63" s="24"/>
      <c r="W63" s="4"/>
      <c r="X63" s="24"/>
      <c r="Y63" s="4"/>
      <c r="Z63" s="24"/>
      <c r="AA63" s="4"/>
      <c r="AB63" s="24"/>
      <c r="AC63" s="218"/>
      <c r="AD63" s="24"/>
      <c r="AE63" s="218"/>
      <c r="AF63" s="218"/>
    </row>
    <row r="64" spans="10:32" ht="14.4">
      <c r="J64" s="223">
        <f t="shared" si="9"/>
        <v>0</v>
      </c>
      <c r="R64" s="4"/>
      <c r="S64" s="24"/>
      <c r="T64" s="4"/>
      <c r="U64" s="4"/>
      <c r="V64" s="24"/>
      <c r="W64" s="4"/>
      <c r="X64" s="24"/>
      <c r="Y64" s="4"/>
      <c r="Z64" s="24"/>
      <c r="AA64" s="4"/>
      <c r="AB64" s="24"/>
      <c r="AC64" s="218"/>
      <c r="AD64" s="24"/>
      <c r="AE64" s="218"/>
      <c r="AF64" s="218"/>
    </row>
    <row r="65" spans="10:32" ht="14.4">
      <c r="J65" s="223">
        <f t="shared" si="9"/>
        <v>0</v>
      </c>
      <c r="R65" s="4"/>
      <c r="S65" s="24"/>
      <c r="T65" s="4"/>
      <c r="U65" s="4"/>
      <c r="V65" s="24"/>
      <c r="W65" s="4"/>
      <c r="X65" s="24"/>
      <c r="Y65" s="4"/>
      <c r="Z65" s="24"/>
      <c r="AA65" s="4"/>
      <c r="AB65" s="24"/>
      <c r="AC65" s="218"/>
      <c r="AD65" s="24"/>
      <c r="AE65" s="218"/>
      <c r="AF65" s="218"/>
    </row>
  </sheetData>
  <mergeCells count="1">
    <mergeCell ref="P1:Q1048576"/>
  </mergeCells>
  <conditionalFormatting sqref="U2:V65 S2:S65 X2:X65 Z2:Z65 AB2:AB65 AD2:AD65">
    <cfRule type="cellIs" dxfId="481" priority="61" operator="equal">
      <formula>"Overdue"</formula>
    </cfRule>
  </conditionalFormatting>
  <conditionalFormatting sqref="U2:V65 S2:S65 X2:X65 Z2:Z65 AB2:AB65 AD2:AD65">
    <cfRule type="cellIs" dxfId="480" priority="60" operator="equal">
      <formula>"In Process"</formula>
    </cfRule>
  </conditionalFormatting>
  <conditionalFormatting sqref="V2:V65">
    <cfRule type="cellIs" dxfId="479" priority="57" operator="equal">
      <formula>"N/A"</formula>
    </cfRule>
  </conditionalFormatting>
  <conditionalFormatting sqref="V2:V65 S2:S65 X2:X65 Z2:Z65 AB2:AB65 AD2:AD65">
    <cfRule type="cellIs" dxfId="478" priority="56" operator="equal">
      <formula>"Done"</formula>
    </cfRule>
  </conditionalFormatting>
  <conditionalFormatting sqref="AE2:AE65">
    <cfRule type="cellIs" dxfId="477" priority="55" operator="equal">
      <formula>"Yes"</formula>
    </cfRule>
  </conditionalFormatting>
  <conditionalFormatting sqref="AE2:AE65">
    <cfRule type="cellIs" dxfId="476" priority="54" operator="equal">
      <formula>"No"</formula>
    </cfRule>
  </conditionalFormatting>
  <conditionalFormatting sqref="V2:V1048576 S2:S1048576 X2:X1048576 Z2:Z1048576 AB2:AB1048576 AD2:AD1048576">
    <cfRule type="cellIs" dxfId="475" priority="37" operator="equal">
      <formula>"Not to be pursued"</formula>
    </cfRule>
  </conditionalFormatting>
  <conditionalFormatting sqref="AF2:AF65">
    <cfRule type="cellIs" dxfId="474" priority="36" operator="equal">
      <formula>"Yes"</formula>
    </cfRule>
  </conditionalFormatting>
  <conditionalFormatting sqref="AF2:AF65">
    <cfRule type="cellIs" dxfId="473" priority="35" operator="equal">
      <formula>"No"</formula>
    </cfRule>
  </conditionalFormatting>
  <conditionalFormatting sqref="I2:J1048576">
    <cfRule type="cellIs" dxfId="472" priority="30" operator="equal">
      <formula>"Not to be pursued"</formula>
    </cfRule>
  </conditionalFormatting>
  <conditionalFormatting sqref="I2:J1048576">
    <cfRule type="cellIs" dxfId="471" priority="29" operator="equal">
      <formula>"Submitted"</formula>
    </cfRule>
  </conditionalFormatting>
  <conditionalFormatting sqref="I2:J1048576">
    <cfRule type="cellIs" dxfId="470" priority="28" operator="equal">
      <formula>"Accounts"</formula>
    </cfRule>
  </conditionalFormatting>
  <conditionalFormatting sqref="I2:J1048576">
    <cfRule type="cellIs" dxfId="469" priority="27" operator="equal">
      <formula>"Documentation"</formula>
    </cfRule>
  </conditionalFormatting>
  <conditionalFormatting sqref="I2:J1048576">
    <cfRule type="cellIs" dxfId="468" priority="26" operator="equal">
      <formula>"Filling"</formula>
    </cfRule>
  </conditionalFormatting>
  <conditionalFormatting sqref="I2:J1048576">
    <cfRule type="cellIs" dxfId="467" priority="25" operator="equal">
      <formula>"Follow up with management"</formula>
    </cfRule>
  </conditionalFormatting>
  <conditionalFormatting sqref="I2:J1048576">
    <cfRule type="cellIs" dxfId="466" priority="24" operator="equal">
      <formula>"Technical Evaluation"</formula>
    </cfRule>
  </conditionalFormatting>
  <conditionalFormatting sqref="H2:H13">
    <cfRule type="dataBar" priority="7">
      <dataBar>
        <cfvo type="num" val="0"/>
        <cfvo type="num" val="1"/>
        <color theme="4" tint="0.39997558519241921"/>
      </dataBar>
      <extLst>
        <ext xmlns:x14="http://schemas.microsoft.com/office/spreadsheetml/2009/9/main" uri="{B025F937-C7B1-47D3-B67F-A62EFF666E3E}">
          <x14:id>{9CF2AEC6-A6F6-42CD-9B38-EFC6932E7D72}</x14:id>
        </ext>
      </extLst>
    </cfRule>
  </conditionalFormatting>
  <conditionalFormatting sqref="I6">
    <cfRule type="cellIs" dxfId="465" priority="1" operator="equal">
      <formula>"Final Submission-Overdue"</formula>
    </cfRule>
    <cfRule type="cellIs" dxfId="464" priority="2" operator="equal">
      <formula>"Documentation-Overdue"</formula>
    </cfRule>
    <cfRule type="cellIs" dxfId="463" priority="3" operator="equal">
      <formula>"Accounts-Overdue"</formula>
    </cfRule>
    <cfRule type="cellIs" dxfId="462" priority="4" operator="equal">
      <formula>"Filling-Overdue"</formula>
    </cfRule>
    <cfRule type="cellIs" dxfId="461" priority="5" operator="equal">
      <formula>"Technical Evaluation-Overdue"</formula>
    </cfRule>
    <cfRule type="cellIs" dxfId="460" priority="6" operator="equal">
      <formula>"Follow up with management-Overdue"</formula>
    </cfRule>
  </conditionalFormatting>
  <dataValidations count="8">
    <dataValidation allowBlank="1" showInputMessage="1" showErrorMessage="1" sqref="R1 AA1:AF1 U1:Y1 V2:V65 Z1:Z65" xr:uid="{00000000-0002-0000-0900-000000000000}"/>
    <dataValidation type="list" allowBlank="1" showInputMessage="1" showErrorMessage="1" sqref="T2:T65" xr:uid="{00000000-0002-0000-0900-000001000000}">
      <formula1>"Not required, Sent for advice"</formula1>
    </dataValidation>
    <dataValidation type="list" allowBlank="1" showInputMessage="1" showErrorMessage="1" sqref="AE2:AF65 U2:U1048576" xr:uid="{00000000-0002-0000-0900-000002000000}">
      <formula1>"Yes, No"</formula1>
    </dataValidation>
    <dataValidation type="list" allowBlank="1" showInputMessage="1" showErrorMessage="1" sqref="R2:R1048576" xr:uid="{00000000-0002-0000-0900-000003000000}">
      <formula1>"Done, Not Done , Not to be pursued"</formula1>
    </dataValidation>
    <dataValidation type="list" allowBlank="1" showInputMessage="1" showErrorMessage="1" sqref="AC2:AC1048576" xr:uid="{00000000-0002-0000-0900-000004000000}">
      <formula1>"Done,Not Done, Not to be pursued"</formula1>
    </dataValidation>
    <dataValidation type="list" allowBlank="1" showInputMessage="1" showErrorMessage="1" sqref="AA2:AA1048576" xr:uid="{00000000-0002-0000-0900-000005000000}">
      <formula1>"Done , Not Done, Not to be pursued"</formula1>
    </dataValidation>
    <dataValidation type="list" allowBlank="1" showInputMessage="1" showErrorMessage="1" sqref="Y2:Y1048576" xr:uid="{00000000-0002-0000-0900-000006000000}">
      <formula1>"Done, Not Done, Not to be pursued"</formula1>
    </dataValidation>
    <dataValidation type="list" allowBlank="1" showInputMessage="1" showErrorMessage="1" sqref="W2:W1048576" xr:uid="{00000000-0002-0000-0900-000007000000}">
      <formula1>"Done ,Not Done, Not to be pursued"</formula1>
    </dataValidation>
  </dataValidations>
  <pageMargins left="0.7" right="0.7" top="0.75" bottom="0.75" header="0.3" footer="0.3"/>
  <drawing r:id="rId3"/>
  <extLst>
    <ext xmlns:x14="http://schemas.microsoft.com/office/spreadsheetml/2009/9/main" uri="{78C0D931-6437-407d-A8EE-F0AAD7539E65}">
      <x14:conditionalFormattings>
        <x14:conditionalFormatting xmlns:xm="http://schemas.microsoft.com/office/excel/2006/main">
          <x14:cfRule type="dataBar" id="{9CF2AEC6-A6F6-42CD-9B38-EFC6932E7D72}">
            <x14:dataBar minLength="0" maxLength="100">
              <x14:cfvo type="num">
                <xm:f>0</xm:f>
              </x14:cfvo>
              <x14:cfvo type="num">
                <xm:f>1</xm:f>
              </x14:cfvo>
              <x14:negativeFillColor rgb="FFFF0000"/>
              <x14:axisColor rgb="FF000000"/>
            </x14:dataBar>
          </x14:cfRule>
          <xm:sqref>H2:H13</xm:sqref>
        </x14:conditionalFormatting>
      </x14:conditionalFormattings>
    </ext>
    <ext xmlns:x14="http://schemas.microsoft.com/office/spreadsheetml/2009/9/main" uri="{A8765BA9-456A-4dab-B4F3-ACF838C121DE}">
      <x14:slicerList>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dimension ref="A1:F35"/>
  <sheetViews>
    <sheetView workbookViewId="0">
      <selection activeCell="A37" sqref="A37:A38"/>
    </sheetView>
  </sheetViews>
  <sheetFormatPr defaultColWidth="8.6640625" defaultRowHeight="14.4"/>
  <cols>
    <col min="1" max="1" width="23.33203125" style="206" customWidth="1"/>
    <col min="2" max="2" width="16.33203125" style="14" customWidth="1"/>
    <col min="3" max="3" width="13.44140625" style="206" customWidth="1"/>
    <col min="4" max="4" width="85.6640625" style="206" customWidth="1"/>
    <col min="5" max="5" width="44.5546875" style="206" bestFit="1" customWidth="1"/>
    <col min="6" max="16384" width="8.6640625" style="206"/>
  </cols>
  <sheetData>
    <row r="1" spans="1:6">
      <c r="A1" s="205" t="s">
        <v>251</v>
      </c>
      <c r="B1" s="204" t="s">
        <v>271</v>
      </c>
      <c r="C1" s="202"/>
      <c r="D1" s="154" t="s">
        <v>249</v>
      </c>
      <c r="E1"/>
      <c r="F1"/>
    </row>
    <row r="2" spans="1:6">
      <c r="A2" s="206" t="s">
        <v>272</v>
      </c>
      <c r="B2" s="14" t="s">
        <v>253</v>
      </c>
      <c r="D2" s="155" t="s">
        <v>281</v>
      </c>
      <c r="E2"/>
      <c r="F2"/>
    </row>
    <row r="3" spans="1:6">
      <c r="A3" s="206" t="s">
        <v>273</v>
      </c>
      <c r="B3" s="14" t="s">
        <v>253</v>
      </c>
      <c r="D3" s="155" t="s">
        <v>273</v>
      </c>
      <c r="E3"/>
      <c r="F3"/>
    </row>
    <row r="4" spans="1:6">
      <c r="A4" s="206" t="s">
        <v>275</v>
      </c>
      <c r="B4" s="14" t="s">
        <v>253</v>
      </c>
      <c r="D4" s="155" t="s">
        <v>300</v>
      </c>
      <c r="E4"/>
      <c r="F4"/>
    </row>
    <row r="5" spans="1:6">
      <c r="A5" s="206" t="s">
        <v>277</v>
      </c>
      <c r="B5" s="14" t="s">
        <v>253</v>
      </c>
      <c r="D5" s="155" t="s">
        <v>274</v>
      </c>
      <c r="E5"/>
      <c r="F5"/>
    </row>
    <row r="6" spans="1:6">
      <c r="A6" s="206" t="s">
        <v>58</v>
      </c>
      <c r="B6" s="14" t="s">
        <v>253</v>
      </c>
      <c r="D6" s="155" t="s">
        <v>276</v>
      </c>
      <c r="E6"/>
      <c r="F6"/>
    </row>
    <row r="7" spans="1:6">
      <c r="A7" s="206" t="s">
        <v>276</v>
      </c>
      <c r="B7" s="14" t="s">
        <v>253</v>
      </c>
      <c r="D7" s="155" t="s">
        <v>278</v>
      </c>
      <c r="E7"/>
      <c r="F7"/>
    </row>
    <row r="8" spans="1:6">
      <c r="A8" s="206" t="s">
        <v>279</v>
      </c>
      <c r="B8" s="14" t="s">
        <v>144</v>
      </c>
      <c r="D8" s="155" t="s">
        <v>275</v>
      </c>
      <c r="E8"/>
      <c r="F8"/>
    </row>
    <row r="9" spans="1:6">
      <c r="A9" s="206" t="s">
        <v>281</v>
      </c>
      <c r="B9" s="14" t="s">
        <v>144</v>
      </c>
      <c r="D9" s="155" t="s">
        <v>277</v>
      </c>
      <c r="E9"/>
      <c r="F9"/>
    </row>
    <row r="10" spans="1:6">
      <c r="A10" s="206" t="s">
        <v>283</v>
      </c>
      <c r="B10" s="14" t="s">
        <v>253</v>
      </c>
      <c r="D10" s="155" t="s">
        <v>280</v>
      </c>
      <c r="E10"/>
      <c r="F10"/>
    </row>
    <row r="11" spans="1:6">
      <c r="A11" s="206" t="s">
        <v>285</v>
      </c>
      <c r="B11" s="14" t="s">
        <v>253</v>
      </c>
      <c r="D11" s="155" t="s">
        <v>282</v>
      </c>
      <c r="E11"/>
      <c r="F11"/>
    </row>
    <row r="12" spans="1:6">
      <c r="A12" s="206" t="s">
        <v>39</v>
      </c>
      <c r="B12" s="14" t="s">
        <v>253</v>
      </c>
      <c r="D12" s="155" t="s">
        <v>284</v>
      </c>
      <c r="E12"/>
      <c r="F12"/>
    </row>
    <row r="13" spans="1:6">
      <c r="A13" s="206" t="s">
        <v>288</v>
      </c>
      <c r="B13" s="14" t="s">
        <v>253</v>
      </c>
      <c r="D13" s="155" t="s">
        <v>286</v>
      </c>
      <c r="E13"/>
      <c r="F13"/>
    </row>
    <row r="14" spans="1:6">
      <c r="A14" s="206" t="s">
        <v>278</v>
      </c>
      <c r="B14" s="14" t="s">
        <v>253</v>
      </c>
      <c r="D14" s="155" t="s">
        <v>287</v>
      </c>
      <c r="E14"/>
      <c r="F14"/>
    </row>
    <row r="15" spans="1:6">
      <c r="A15" s="206" t="s">
        <v>290</v>
      </c>
      <c r="B15" s="14" t="s">
        <v>144</v>
      </c>
      <c r="D15" s="155" t="s">
        <v>39</v>
      </c>
      <c r="E15"/>
      <c r="F15"/>
    </row>
    <row r="16" spans="1:6">
      <c r="A16" s="206" t="s">
        <v>291</v>
      </c>
      <c r="B16" s="14" t="s">
        <v>253</v>
      </c>
      <c r="D16" s="155" t="s">
        <v>289</v>
      </c>
      <c r="E16"/>
      <c r="F16"/>
    </row>
    <row r="17" spans="1:6">
      <c r="A17" s="206" t="s">
        <v>293</v>
      </c>
      <c r="B17" s="14" t="s">
        <v>144</v>
      </c>
      <c r="D17" s="155" t="s">
        <v>285</v>
      </c>
      <c r="E17"/>
      <c r="F17"/>
    </row>
    <row r="18" spans="1:6">
      <c r="A18" s="206" t="s">
        <v>295</v>
      </c>
      <c r="B18" s="14" t="s">
        <v>253</v>
      </c>
      <c r="D18" s="155" t="s">
        <v>292</v>
      </c>
      <c r="E18"/>
      <c r="F18"/>
    </row>
    <row r="19" spans="1:6">
      <c r="A19" s="206" t="s">
        <v>289</v>
      </c>
      <c r="B19" s="14" t="s">
        <v>253</v>
      </c>
      <c r="D19" s="155" t="s">
        <v>294</v>
      </c>
    </row>
    <row r="20" spans="1:6">
      <c r="A20" s="206" t="s">
        <v>296</v>
      </c>
      <c r="B20" s="14" t="s">
        <v>144</v>
      </c>
      <c r="D20" s="155" t="s">
        <v>272</v>
      </c>
    </row>
    <row r="21" spans="1:6">
      <c r="A21" s="206" t="s">
        <v>282</v>
      </c>
      <c r="B21" s="14" t="s">
        <v>253</v>
      </c>
      <c r="D21" s="155" t="s">
        <v>288</v>
      </c>
    </row>
    <row r="22" spans="1:6">
      <c r="A22" s="206" t="s">
        <v>292</v>
      </c>
      <c r="B22" s="14" t="s">
        <v>253</v>
      </c>
      <c r="D22" s="155" t="s">
        <v>296</v>
      </c>
    </row>
    <row r="23" spans="1:6">
      <c r="A23" s="206" t="s">
        <v>284</v>
      </c>
      <c r="B23" s="14" t="s">
        <v>253</v>
      </c>
      <c r="D23" s="155" t="s">
        <v>283</v>
      </c>
    </row>
    <row r="24" spans="1:6">
      <c r="A24" s="206" t="s">
        <v>298</v>
      </c>
      <c r="B24" s="14" t="s">
        <v>253</v>
      </c>
      <c r="D24" s="155" t="s">
        <v>279</v>
      </c>
    </row>
    <row r="25" spans="1:6">
      <c r="A25" s="206" t="s">
        <v>300</v>
      </c>
      <c r="B25" s="14" t="s">
        <v>144</v>
      </c>
      <c r="D25" s="155" t="s">
        <v>297</v>
      </c>
    </row>
    <row r="26" spans="1:6">
      <c r="A26" s="206" t="s">
        <v>280</v>
      </c>
      <c r="B26" s="14" t="s">
        <v>253</v>
      </c>
      <c r="D26" s="155" t="s">
        <v>290</v>
      </c>
    </row>
    <row r="27" spans="1:6">
      <c r="A27" s="206" t="s">
        <v>286</v>
      </c>
      <c r="B27" s="14" t="s">
        <v>253</v>
      </c>
      <c r="D27" s="155" t="s">
        <v>301</v>
      </c>
    </row>
    <row r="28" spans="1:6" ht="20.25" customHeight="1">
      <c r="A28" s="207" t="s">
        <v>301</v>
      </c>
      <c r="B28" s="203" t="s">
        <v>144</v>
      </c>
      <c r="D28" s="155" t="s">
        <v>298</v>
      </c>
    </row>
    <row r="29" spans="1:6" ht="16.5" customHeight="1">
      <c r="A29" s="206" t="s">
        <v>287</v>
      </c>
      <c r="B29" s="14" t="s">
        <v>253</v>
      </c>
      <c r="D29" s="155" t="s">
        <v>291</v>
      </c>
    </row>
    <row r="30" spans="1:6">
      <c r="A30" s="206" t="s">
        <v>299</v>
      </c>
      <c r="B30" s="14" t="s">
        <v>253</v>
      </c>
      <c r="D30" s="155" t="s">
        <v>293</v>
      </c>
    </row>
    <row r="31" spans="1:6">
      <c r="A31" s="206" t="s">
        <v>274</v>
      </c>
      <c r="B31" s="14" t="s">
        <v>253</v>
      </c>
      <c r="D31" s="155" t="s">
        <v>299</v>
      </c>
    </row>
    <row r="32" spans="1:6">
      <c r="A32" s="206" t="s">
        <v>294</v>
      </c>
      <c r="B32" s="14" t="s">
        <v>253</v>
      </c>
      <c r="D32" s="155" t="s">
        <v>58</v>
      </c>
    </row>
    <row r="33" spans="1:4">
      <c r="A33" s="206" t="s">
        <v>297</v>
      </c>
      <c r="B33" s="14" t="s">
        <v>253</v>
      </c>
      <c r="D33" s="155" t="s">
        <v>295</v>
      </c>
    </row>
    <row r="34" spans="1:4">
      <c r="A34" s="206" t="s">
        <v>302</v>
      </c>
      <c r="B34" s="14" t="s">
        <v>253</v>
      </c>
      <c r="D34" s="155" t="s">
        <v>12</v>
      </c>
    </row>
    <row r="35" spans="1:4">
      <c r="D35"/>
    </row>
  </sheetData>
  <pageMargins left="0.7" right="0.7" top="0.75" bottom="0.75" header="0.3" footer="0.3"/>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0000000}">
          <x14:formula1>
            <xm:f>Validations!$C$2:$C$10</xm:f>
          </x14:formula1>
          <xm:sqref>B2:B17</xm:sqref>
        </x14:dataValidation>
      </x14:dataValidations>
    </ex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G5"/>
  <sheetViews>
    <sheetView workbookViewId="0">
      <selection sqref="A1:G5"/>
    </sheetView>
  </sheetViews>
  <sheetFormatPr defaultRowHeight="14.4"/>
  <cols>
    <col min="1" max="1" width="10.44140625" customWidth="1"/>
    <col min="3" max="3" width="9.44140625" customWidth="1"/>
    <col min="5" max="5" width="16.33203125" customWidth="1"/>
    <col min="6" max="6" width="14.44140625" customWidth="1"/>
    <col min="7" max="7" width="12" customWidth="1"/>
  </cols>
  <sheetData>
    <row r="1" spans="1:7">
      <c r="A1" t="s">
        <v>303</v>
      </c>
      <c r="B1" t="s">
        <v>259</v>
      </c>
      <c r="C1" t="s">
        <v>304</v>
      </c>
      <c r="D1" t="s">
        <v>305</v>
      </c>
      <c r="E1" t="s">
        <v>306</v>
      </c>
      <c r="F1" t="s">
        <v>307</v>
      </c>
      <c r="G1" t="s">
        <v>33</v>
      </c>
    </row>
    <row r="2" spans="1:7" ht="288">
      <c r="A2" t="s">
        <v>7</v>
      </c>
      <c r="B2" t="s">
        <v>310</v>
      </c>
      <c r="C2" t="s">
        <v>311</v>
      </c>
      <c r="D2" t="s">
        <v>312</v>
      </c>
      <c r="E2" t="s">
        <v>313</v>
      </c>
      <c r="F2" s="3" t="s">
        <v>314</v>
      </c>
      <c r="G2" s="3" t="s">
        <v>722</v>
      </c>
    </row>
    <row r="3" spans="1:7" ht="129.6">
      <c r="A3" t="s">
        <v>203</v>
      </c>
      <c r="B3" t="s">
        <v>327</v>
      </c>
      <c r="C3" t="s">
        <v>328</v>
      </c>
      <c r="D3" t="s">
        <v>329</v>
      </c>
      <c r="E3" t="s">
        <v>330</v>
      </c>
      <c r="F3" t="s">
        <v>50</v>
      </c>
      <c r="G3" s="3" t="s">
        <v>331</v>
      </c>
    </row>
    <row r="4" spans="1:7" ht="345.6">
      <c r="A4" t="s">
        <v>9</v>
      </c>
      <c r="B4" t="s">
        <v>322</v>
      </c>
      <c r="C4" t="s">
        <v>323</v>
      </c>
      <c r="D4" t="s">
        <v>324</v>
      </c>
      <c r="E4" t="s">
        <v>325</v>
      </c>
      <c r="F4" t="s">
        <v>50</v>
      </c>
      <c r="G4" s="3" t="s">
        <v>723</v>
      </c>
    </row>
    <row r="5" spans="1:7">
      <c r="A5" t="s">
        <v>316</v>
      </c>
      <c r="B5" t="s">
        <v>317</v>
      </c>
      <c r="C5" s="1">
        <v>45047</v>
      </c>
      <c r="D5" t="s">
        <v>318</v>
      </c>
      <c r="E5" t="s">
        <v>319</v>
      </c>
      <c r="F5" t="s">
        <v>724</v>
      </c>
      <c r="G5" t="s">
        <v>321</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3:F9"/>
  <sheetViews>
    <sheetView workbookViewId="0">
      <selection activeCell="J33" sqref="J33"/>
    </sheetView>
  </sheetViews>
  <sheetFormatPr defaultRowHeight="14.4"/>
  <cols>
    <col min="1" max="1" width="12.77734375" customWidth="1"/>
    <col min="2" max="2" width="15.5546875" customWidth="1"/>
    <col min="3" max="3" width="12.109375" bestFit="1" customWidth="1"/>
    <col min="4" max="4" width="11.109375" bestFit="1" customWidth="1"/>
    <col min="5" max="5" width="11.109375" customWidth="1"/>
    <col min="6" max="6" width="10.77734375" customWidth="1"/>
    <col min="7" max="7" width="12.109375" customWidth="1"/>
    <col min="8" max="9" width="11.109375" bestFit="1" customWidth="1"/>
    <col min="10" max="10" width="17.6640625" bestFit="1" customWidth="1"/>
    <col min="11" max="11" width="18.6640625" bestFit="1" customWidth="1"/>
  </cols>
  <sheetData>
    <row r="3" spans="1:6">
      <c r="A3" s="154" t="s">
        <v>721</v>
      </c>
      <c r="B3" s="154" t="s">
        <v>356</v>
      </c>
    </row>
    <row r="4" spans="1:6">
      <c r="A4" s="154" t="s">
        <v>249</v>
      </c>
      <c r="B4" t="s">
        <v>312</v>
      </c>
      <c r="C4" t="s">
        <v>324</v>
      </c>
      <c r="D4" t="s">
        <v>329</v>
      </c>
      <c r="E4" t="s">
        <v>318</v>
      </c>
      <c r="F4" t="s">
        <v>12</v>
      </c>
    </row>
    <row r="5" spans="1:6">
      <c r="A5" s="155" t="s">
        <v>7</v>
      </c>
      <c r="B5" s="331">
        <v>1</v>
      </c>
      <c r="C5" s="331"/>
      <c r="D5" s="331"/>
      <c r="E5" s="331"/>
      <c r="F5" s="331">
        <v>1</v>
      </c>
    </row>
    <row r="6" spans="1:6">
      <c r="A6" s="155" t="s">
        <v>203</v>
      </c>
      <c r="B6" s="331"/>
      <c r="C6" s="331"/>
      <c r="D6" s="331">
        <v>1</v>
      </c>
      <c r="E6" s="331"/>
      <c r="F6" s="331">
        <v>1</v>
      </c>
    </row>
    <row r="7" spans="1:6">
      <c r="A7" s="155" t="s">
        <v>9</v>
      </c>
      <c r="B7" s="331"/>
      <c r="C7" s="331">
        <v>1</v>
      </c>
      <c r="D7" s="331"/>
      <c r="E7" s="331"/>
      <c r="F7" s="331">
        <v>1</v>
      </c>
    </row>
    <row r="8" spans="1:6">
      <c r="A8" s="155" t="s">
        <v>316</v>
      </c>
      <c r="B8" s="331"/>
      <c r="C8" s="331"/>
      <c r="D8" s="331"/>
      <c r="E8" s="331">
        <v>1</v>
      </c>
      <c r="F8" s="331">
        <v>1</v>
      </c>
    </row>
    <row r="9" spans="1:6">
      <c r="A9" s="155" t="s">
        <v>12</v>
      </c>
      <c r="B9" s="331">
        <v>1</v>
      </c>
      <c r="C9" s="331">
        <v>1</v>
      </c>
      <c r="D9" s="331">
        <v>1</v>
      </c>
      <c r="E9" s="331">
        <v>1</v>
      </c>
      <c r="F9" s="331">
        <v>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G6"/>
  <sheetViews>
    <sheetView workbookViewId="0">
      <selection activeCell="C5" sqref="C5"/>
    </sheetView>
  </sheetViews>
  <sheetFormatPr defaultRowHeight="14.4"/>
  <cols>
    <col min="1" max="1" width="12.6640625" bestFit="1" customWidth="1"/>
    <col min="2" max="2" width="19.109375" style="3" bestFit="1" customWidth="1"/>
    <col min="3" max="3" width="19.109375" style="3" customWidth="1"/>
    <col min="4" max="4" width="19.5546875" customWidth="1"/>
    <col min="5" max="5" width="19.109375" bestFit="1" customWidth="1"/>
    <col min="6" max="6" width="23.44140625" customWidth="1"/>
    <col min="7" max="7" width="38.44140625" style="3" customWidth="1"/>
    <col min="8" max="8" width="33.6640625" customWidth="1"/>
  </cols>
  <sheetData>
    <row r="1" spans="1:7" s="17" customFormat="1">
      <c r="A1" s="277" t="s">
        <v>303</v>
      </c>
      <c r="B1" s="278" t="s">
        <v>259</v>
      </c>
      <c r="C1" s="278" t="s">
        <v>304</v>
      </c>
      <c r="D1" s="279" t="s">
        <v>305</v>
      </c>
      <c r="E1" s="279" t="s">
        <v>306</v>
      </c>
      <c r="F1" s="279" t="s">
        <v>307</v>
      </c>
      <c r="G1" s="280" t="s">
        <v>33</v>
      </c>
    </row>
    <row r="2" spans="1:7" ht="43.2">
      <c r="A2" s="50" t="s">
        <v>114</v>
      </c>
      <c r="B2" s="16" t="s">
        <v>308</v>
      </c>
      <c r="C2" s="281">
        <v>44816</v>
      </c>
      <c r="D2" s="237" t="s">
        <v>50</v>
      </c>
      <c r="E2" s="237" t="s">
        <v>50</v>
      </c>
      <c r="F2" s="237" t="s">
        <v>50</v>
      </c>
      <c r="G2" s="275" t="s">
        <v>309</v>
      </c>
    </row>
    <row r="3" spans="1:7" ht="115.2">
      <c r="A3" s="50" t="s">
        <v>7</v>
      </c>
      <c r="B3" s="295" t="s">
        <v>310</v>
      </c>
      <c r="C3" s="238" t="s">
        <v>311</v>
      </c>
      <c r="D3" s="237" t="s">
        <v>312</v>
      </c>
      <c r="E3" s="237" t="s">
        <v>313</v>
      </c>
      <c r="F3" s="114" t="s">
        <v>314</v>
      </c>
      <c r="G3" s="37" t="s">
        <v>315</v>
      </c>
    </row>
    <row r="4" spans="1:7" ht="43.2">
      <c r="A4" s="50" t="s">
        <v>316</v>
      </c>
      <c r="B4" s="16" t="s">
        <v>317</v>
      </c>
      <c r="C4" s="281">
        <v>45047</v>
      </c>
      <c r="D4" s="237" t="s">
        <v>318</v>
      </c>
      <c r="E4" s="237" t="s">
        <v>319</v>
      </c>
      <c r="F4" s="274" t="s">
        <v>320</v>
      </c>
      <c r="G4" s="36" t="s">
        <v>321</v>
      </c>
    </row>
    <row r="5" spans="1:7" ht="129.6">
      <c r="A5" s="50" t="s">
        <v>9</v>
      </c>
      <c r="B5" s="293" t="s">
        <v>322</v>
      </c>
      <c r="C5" s="238" t="s">
        <v>323</v>
      </c>
      <c r="D5" s="237" t="s">
        <v>324</v>
      </c>
      <c r="E5" s="238" t="s">
        <v>325</v>
      </c>
      <c r="F5" s="237" t="s">
        <v>50</v>
      </c>
      <c r="G5" s="37" t="s">
        <v>326</v>
      </c>
    </row>
    <row r="6" spans="1:7" ht="43.2">
      <c r="A6" s="52" t="s">
        <v>203</v>
      </c>
      <c r="B6" s="294" t="s">
        <v>310</v>
      </c>
      <c r="C6" s="282" t="s">
        <v>328</v>
      </c>
      <c r="D6" s="276" t="s">
        <v>329</v>
      </c>
      <c r="E6" s="276" t="s">
        <v>330</v>
      </c>
      <c r="F6" s="282" t="s">
        <v>725</v>
      </c>
      <c r="G6" s="72" t="s">
        <v>331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3:D38"/>
  <sheetViews>
    <sheetView zoomScale="70" zoomScaleNormal="70" workbookViewId="0">
      <selection activeCell="N13" sqref="N13"/>
    </sheetView>
  </sheetViews>
  <sheetFormatPr defaultRowHeight="14.4"/>
  <cols>
    <col min="1" max="1" width="30" bestFit="1" customWidth="1"/>
    <col min="2" max="2" width="26.5546875" bestFit="1" customWidth="1"/>
    <col min="3" max="3" width="28.5546875" bestFit="1" customWidth="1"/>
    <col min="4" max="4" width="15.33203125" bestFit="1" customWidth="1"/>
    <col min="5" max="5" width="16" bestFit="1" customWidth="1"/>
    <col min="6" max="7" width="7.44140625" bestFit="1" customWidth="1"/>
    <col min="8" max="8" width="11.6640625" bestFit="1" customWidth="1"/>
  </cols>
  <sheetData>
    <row r="3" spans="1:4">
      <c r="A3" s="154" t="s">
        <v>17</v>
      </c>
      <c r="B3" s="154" t="s">
        <v>20</v>
      </c>
      <c r="C3" s="154" t="s">
        <v>15</v>
      </c>
      <c r="D3" t="s">
        <v>250</v>
      </c>
    </row>
    <row r="4" spans="1:4">
      <c r="A4" t="s">
        <v>334</v>
      </c>
      <c r="B4" t="s">
        <v>35</v>
      </c>
      <c r="C4" t="s">
        <v>34</v>
      </c>
      <c r="D4" s="331">
        <v>9</v>
      </c>
    </row>
    <row r="5" spans="1:4">
      <c r="B5" t="s">
        <v>332</v>
      </c>
      <c r="D5" s="331">
        <v>9</v>
      </c>
    </row>
    <row r="6" spans="1:4">
      <c r="A6" t="s">
        <v>335</v>
      </c>
      <c r="D6" s="331">
        <v>9</v>
      </c>
    </row>
    <row r="7" spans="1:4">
      <c r="A7" t="s">
        <v>336</v>
      </c>
      <c r="B7" t="s">
        <v>35</v>
      </c>
      <c r="C7" t="s">
        <v>34</v>
      </c>
      <c r="D7" s="331">
        <v>10</v>
      </c>
    </row>
    <row r="8" spans="1:4">
      <c r="B8" t="s">
        <v>332</v>
      </c>
      <c r="D8" s="331">
        <v>10</v>
      </c>
    </row>
    <row r="9" spans="1:4">
      <c r="A9" t="s">
        <v>337</v>
      </c>
      <c r="D9" s="331">
        <v>10</v>
      </c>
    </row>
    <row r="10" spans="1:4">
      <c r="A10" t="s">
        <v>338</v>
      </c>
      <c r="B10" t="s">
        <v>133</v>
      </c>
      <c r="C10" t="s">
        <v>34</v>
      </c>
      <c r="D10" s="331">
        <v>1</v>
      </c>
    </row>
    <row r="11" spans="1:4">
      <c r="B11" t="s">
        <v>339</v>
      </c>
      <c r="D11" s="331">
        <v>1</v>
      </c>
    </row>
    <row r="12" spans="1:4">
      <c r="B12" t="s">
        <v>35</v>
      </c>
      <c r="C12" t="s">
        <v>34</v>
      </c>
      <c r="D12" s="331">
        <v>5</v>
      </c>
    </row>
    <row r="13" spans="1:4">
      <c r="B13" t="s">
        <v>332</v>
      </c>
      <c r="D13" s="331">
        <v>5</v>
      </c>
    </row>
    <row r="14" spans="1:4">
      <c r="A14" t="s">
        <v>340</v>
      </c>
      <c r="D14" s="331">
        <v>6</v>
      </c>
    </row>
    <row r="15" spans="1:4">
      <c r="A15" t="s">
        <v>341</v>
      </c>
      <c r="B15" t="s">
        <v>165</v>
      </c>
      <c r="C15" t="s">
        <v>34</v>
      </c>
      <c r="D15" s="331">
        <v>1</v>
      </c>
    </row>
    <row r="16" spans="1:4">
      <c r="B16" t="s">
        <v>342</v>
      </c>
      <c r="D16" s="331">
        <v>1</v>
      </c>
    </row>
    <row r="17" spans="1:4">
      <c r="B17" t="s">
        <v>35</v>
      </c>
      <c r="C17" t="s">
        <v>34</v>
      </c>
      <c r="D17" s="331">
        <v>1</v>
      </c>
    </row>
    <row r="18" spans="1:4">
      <c r="B18" t="s">
        <v>332</v>
      </c>
      <c r="D18" s="331">
        <v>1</v>
      </c>
    </row>
    <row r="19" spans="1:4">
      <c r="A19" t="s">
        <v>343</v>
      </c>
      <c r="D19" s="331">
        <v>2</v>
      </c>
    </row>
    <row r="20" spans="1:4">
      <c r="A20" t="s">
        <v>344</v>
      </c>
      <c r="B20" t="s">
        <v>146</v>
      </c>
      <c r="C20" t="s">
        <v>34</v>
      </c>
      <c r="D20" s="331">
        <v>1</v>
      </c>
    </row>
    <row r="21" spans="1:4">
      <c r="B21" t="s">
        <v>345</v>
      </c>
      <c r="D21" s="331">
        <v>1</v>
      </c>
    </row>
    <row r="22" spans="1:4">
      <c r="B22" t="s">
        <v>35</v>
      </c>
      <c r="C22" t="s">
        <v>34</v>
      </c>
      <c r="D22" s="331">
        <v>3</v>
      </c>
    </row>
    <row r="23" spans="1:4">
      <c r="B23" t="s">
        <v>332</v>
      </c>
      <c r="D23" s="331">
        <v>3</v>
      </c>
    </row>
    <row r="24" spans="1:4">
      <c r="B24" t="s">
        <v>189</v>
      </c>
      <c r="C24" t="s">
        <v>34</v>
      </c>
      <c r="D24" s="331">
        <v>1</v>
      </c>
    </row>
    <row r="25" spans="1:4">
      <c r="B25" t="s">
        <v>333</v>
      </c>
      <c r="D25" s="331">
        <v>1</v>
      </c>
    </row>
    <row r="26" spans="1:4">
      <c r="A26" t="s">
        <v>346</v>
      </c>
      <c r="D26" s="331">
        <v>5</v>
      </c>
    </row>
    <row r="27" spans="1:4">
      <c r="A27" t="s">
        <v>347</v>
      </c>
      <c r="B27" t="s">
        <v>152</v>
      </c>
      <c r="C27" t="s">
        <v>34</v>
      </c>
      <c r="D27" s="331">
        <v>1</v>
      </c>
    </row>
    <row r="28" spans="1:4">
      <c r="B28" t="s">
        <v>348</v>
      </c>
      <c r="D28" s="331">
        <v>1</v>
      </c>
    </row>
    <row r="29" spans="1:4">
      <c r="B29" t="s">
        <v>141</v>
      </c>
      <c r="C29" t="s">
        <v>140</v>
      </c>
      <c r="D29" s="331">
        <v>1</v>
      </c>
    </row>
    <row r="30" spans="1:4">
      <c r="B30" t="s">
        <v>349</v>
      </c>
      <c r="D30" s="331">
        <v>1</v>
      </c>
    </row>
    <row r="31" spans="1:4">
      <c r="B31" t="s">
        <v>135</v>
      </c>
      <c r="C31" t="s">
        <v>34</v>
      </c>
      <c r="D31" s="331">
        <v>1</v>
      </c>
    </row>
    <row r="32" spans="1:4">
      <c r="B32" t="s">
        <v>350</v>
      </c>
      <c r="D32" s="331">
        <v>1</v>
      </c>
    </row>
    <row r="33" spans="1:4">
      <c r="B33" t="s">
        <v>162</v>
      </c>
      <c r="C33" t="s">
        <v>34</v>
      </c>
      <c r="D33" s="331">
        <v>1</v>
      </c>
    </row>
    <row r="34" spans="1:4">
      <c r="B34" t="s">
        <v>351</v>
      </c>
      <c r="D34" s="331">
        <v>1</v>
      </c>
    </row>
    <row r="35" spans="1:4">
      <c r="B35" t="s">
        <v>146</v>
      </c>
      <c r="C35" t="s">
        <v>34</v>
      </c>
      <c r="D35" s="331">
        <v>2</v>
      </c>
    </row>
    <row r="36" spans="1:4">
      <c r="B36" t="s">
        <v>345</v>
      </c>
      <c r="D36" s="331">
        <v>2</v>
      </c>
    </row>
    <row r="37" spans="1:4">
      <c r="A37" t="s">
        <v>352</v>
      </c>
      <c r="D37" s="331">
        <v>6</v>
      </c>
    </row>
    <row r="38" spans="1:4">
      <c r="A38" t="s">
        <v>12</v>
      </c>
      <c r="D38" s="331">
        <v>38</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3:E71"/>
  <sheetViews>
    <sheetView topLeftCell="A36" workbookViewId="0">
      <selection activeCell="A49" sqref="A49"/>
    </sheetView>
  </sheetViews>
  <sheetFormatPr defaultRowHeight="14.4"/>
  <cols>
    <col min="1" max="1" width="12.5546875" bestFit="1" customWidth="1"/>
    <col min="2" max="2" width="16.109375" bestFit="1" customWidth="1"/>
    <col min="3" max="3" width="27.21875" customWidth="1"/>
    <col min="4" max="4" width="7.6640625" customWidth="1"/>
    <col min="5" max="5" width="10.77734375" customWidth="1"/>
    <col min="6" max="6" width="11.6640625" bestFit="1" customWidth="1"/>
    <col min="7" max="7" width="11.33203125" bestFit="1" customWidth="1"/>
  </cols>
  <sheetData>
    <row r="3" spans="1:2">
      <c r="A3" s="154" t="s">
        <v>249</v>
      </c>
      <c r="B3" t="s">
        <v>353</v>
      </c>
    </row>
    <row r="4" spans="1:2">
      <c r="A4" s="155" t="s">
        <v>4</v>
      </c>
      <c r="B4" s="331">
        <v>1</v>
      </c>
    </row>
    <row r="5" spans="1:2">
      <c r="A5" s="155" t="s">
        <v>140</v>
      </c>
      <c r="B5" s="331">
        <v>1</v>
      </c>
    </row>
    <row r="6" spans="1:2">
      <c r="A6" s="155" t="s">
        <v>34</v>
      </c>
      <c r="B6" s="331">
        <v>42</v>
      </c>
    </row>
    <row r="7" spans="1:2">
      <c r="A7" s="155" t="s">
        <v>12</v>
      </c>
      <c r="B7" s="331">
        <v>44</v>
      </c>
    </row>
    <row r="19" spans="1:2">
      <c r="A19" s="154" t="s">
        <v>16</v>
      </c>
      <c r="B19" t="s">
        <v>354</v>
      </c>
    </row>
    <row r="21" spans="1:2">
      <c r="A21" s="154" t="s">
        <v>249</v>
      </c>
      <c r="B21" t="s">
        <v>250</v>
      </c>
    </row>
    <row r="22" spans="1:2">
      <c r="A22" s="155" t="s">
        <v>152</v>
      </c>
      <c r="B22" s="331">
        <v>1</v>
      </c>
    </row>
    <row r="23" spans="1:2">
      <c r="A23" s="155" t="s">
        <v>141</v>
      </c>
      <c r="B23" s="331">
        <v>1</v>
      </c>
    </row>
    <row r="24" spans="1:2">
      <c r="A24" s="155" t="s">
        <v>135</v>
      </c>
      <c r="B24" s="331">
        <v>1</v>
      </c>
    </row>
    <row r="25" spans="1:2">
      <c r="A25" s="155" t="s">
        <v>162</v>
      </c>
      <c r="B25" s="331">
        <v>1</v>
      </c>
    </row>
    <row r="26" spans="1:2">
      <c r="A26" s="155" t="s">
        <v>146</v>
      </c>
      <c r="B26" s="331">
        <v>2</v>
      </c>
    </row>
    <row r="27" spans="1:2">
      <c r="A27" s="155" t="s">
        <v>133</v>
      </c>
      <c r="B27" s="331">
        <v>1</v>
      </c>
    </row>
    <row r="28" spans="1:2">
      <c r="A28" s="155" t="s">
        <v>35</v>
      </c>
      <c r="B28" s="331">
        <v>26</v>
      </c>
    </row>
    <row r="29" spans="1:2">
      <c r="A29" s="155" t="s">
        <v>12</v>
      </c>
      <c r="B29" s="331">
        <v>33</v>
      </c>
    </row>
    <row r="37" spans="1:2">
      <c r="A37" s="154" t="s">
        <v>19</v>
      </c>
      <c r="B37" t="s">
        <v>354</v>
      </c>
    </row>
    <row r="39" spans="1:2">
      <c r="A39" s="154" t="s">
        <v>249</v>
      </c>
      <c r="B39" t="s">
        <v>250</v>
      </c>
    </row>
    <row r="40" spans="1:2">
      <c r="A40" s="155" t="s">
        <v>12</v>
      </c>
      <c r="B40" s="331"/>
    </row>
    <row r="60" spans="1:5">
      <c r="A60" s="154" t="s">
        <v>355</v>
      </c>
      <c r="B60" s="154" t="s">
        <v>356</v>
      </c>
    </row>
    <row r="61" spans="1:5">
      <c r="A61" s="154" t="s">
        <v>249</v>
      </c>
      <c r="B61" t="s">
        <v>4</v>
      </c>
      <c r="C61" t="s">
        <v>140</v>
      </c>
      <c r="D61" t="s">
        <v>34</v>
      </c>
      <c r="E61" t="s">
        <v>12</v>
      </c>
    </row>
    <row r="62" spans="1:5">
      <c r="A62" s="155" t="s">
        <v>347</v>
      </c>
      <c r="B62" s="331"/>
      <c r="C62" s="331">
        <v>1</v>
      </c>
      <c r="D62" s="331">
        <v>5</v>
      </c>
      <c r="E62" s="331">
        <v>6</v>
      </c>
    </row>
    <row r="63" spans="1:5">
      <c r="A63" s="155" t="s">
        <v>341</v>
      </c>
      <c r="B63" s="331"/>
      <c r="C63" s="331"/>
      <c r="D63" s="331">
        <v>2</v>
      </c>
      <c r="E63" s="331">
        <v>2</v>
      </c>
    </row>
    <row r="64" spans="1:5">
      <c r="A64" s="155" t="s">
        <v>338</v>
      </c>
      <c r="B64" s="331"/>
      <c r="C64" s="331"/>
      <c r="D64" s="331">
        <v>6</v>
      </c>
      <c r="E64" s="331">
        <v>6</v>
      </c>
    </row>
    <row r="65" spans="1:5">
      <c r="A65" s="155" t="s">
        <v>336</v>
      </c>
      <c r="B65" s="331"/>
      <c r="C65" s="331"/>
      <c r="D65" s="331">
        <v>10</v>
      </c>
      <c r="E65" s="331">
        <v>10</v>
      </c>
    </row>
    <row r="66" spans="1:5">
      <c r="A66" s="155" t="s">
        <v>334</v>
      </c>
      <c r="B66" s="331"/>
      <c r="C66" s="331"/>
      <c r="D66" s="331">
        <v>9</v>
      </c>
      <c r="E66" s="331">
        <v>9</v>
      </c>
    </row>
    <row r="67" spans="1:5">
      <c r="A67" s="155" t="s">
        <v>344</v>
      </c>
      <c r="B67" s="331"/>
      <c r="C67" s="331"/>
      <c r="D67" s="331">
        <v>5</v>
      </c>
      <c r="E67" s="331">
        <v>5</v>
      </c>
    </row>
    <row r="68" spans="1:5">
      <c r="A68" s="155" t="s">
        <v>714</v>
      </c>
      <c r="B68" s="331"/>
      <c r="C68" s="331"/>
      <c r="D68" s="331">
        <v>3</v>
      </c>
      <c r="E68" s="331">
        <v>3</v>
      </c>
    </row>
    <row r="69" spans="1:5">
      <c r="A69" s="155" t="s">
        <v>715</v>
      </c>
      <c r="B69" s="331"/>
      <c r="C69" s="331"/>
      <c r="D69" s="331">
        <v>2</v>
      </c>
      <c r="E69" s="331">
        <v>2</v>
      </c>
    </row>
    <row r="70" spans="1:5">
      <c r="A70" s="155" t="s">
        <v>716</v>
      </c>
      <c r="B70" s="331">
        <v>1</v>
      </c>
      <c r="C70" s="331"/>
      <c r="D70" s="331"/>
      <c r="E70" s="331">
        <v>1</v>
      </c>
    </row>
    <row r="71" spans="1:5">
      <c r="A71" s="155" t="s">
        <v>12</v>
      </c>
      <c r="B71" s="331">
        <v>1</v>
      </c>
      <c r="C71" s="331">
        <v>1</v>
      </c>
      <c r="D71" s="331">
        <v>42</v>
      </c>
      <c r="E71" s="331">
        <v>44</v>
      </c>
    </row>
  </sheetData>
  <pageMargins left="0.7" right="0.7" top="0.75" bottom="0.75" header="0.3" footer="0.3"/>
  <drawing r:id="rId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C3:D12"/>
  <sheetViews>
    <sheetView topLeftCell="A11" workbookViewId="0">
      <selection activeCell="F9" sqref="F9"/>
    </sheetView>
  </sheetViews>
  <sheetFormatPr defaultRowHeight="14.4"/>
  <cols>
    <col min="3" max="3" width="30.88671875" bestFit="1" customWidth="1"/>
    <col min="4" max="4" width="42.33203125" style="3" customWidth="1"/>
  </cols>
  <sheetData>
    <row r="3" spans="3:4" ht="15" thickBot="1"/>
    <row r="4" spans="3:4">
      <c r="C4" s="8" t="s">
        <v>357</v>
      </c>
      <c r="D4" s="9" t="s">
        <v>25</v>
      </c>
    </row>
    <row r="5" spans="3:4">
      <c r="C5" s="10" t="s">
        <v>358</v>
      </c>
      <c r="D5" s="11" t="s">
        <v>359</v>
      </c>
    </row>
    <row r="6" spans="3:4">
      <c r="C6" s="10" t="s">
        <v>360</v>
      </c>
      <c r="D6" s="11" t="s">
        <v>361</v>
      </c>
    </row>
    <row r="7" spans="3:4" ht="43.8" thickBot="1">
      <c r="C7" s="12" t="s">
        <v>362</v>
      </c>
      <c r="D7" s="13" t="s">
        <v>363</v>
      </c>
    </row>
    <row r="9" spans="3:4">
      <c r="C9" s="15" t="s">
        <v>364</v>
      </c>
      <c r="D9" s="14">
        <v>5</v>
      </c>
    </row>
    <row r="10" spans="3:4">
      <c r="C10" s="15" t="s">
        <v>365</v>
      </c>
      <c r="D10" s="14">
        <v>0</v>
      </c>
    </row>
    <row r="11" spans="3:4">
      <c r="C11" s="15" t="s">
        <v>366</v>
      </c>
      <c r="D11" s="14">
        <v>5</v>
      </c>
    </row>
    <row r="12" spans="3:4" ht="115.2">
      <c r="C12" s="6" t="s">
        <v>245</v>
      </c>
      <c r="D12" s="7" t="s">
        <v>367</v>
      </c>
    </row>
  </sheetData>
  <hyperlinks>
    <hyperlink ref="C6" r:id="rId1" display="https://www.cmmiinstitute.com/partners/directory/tuv-rheinland" xr:uid="{00000000-0004-0000-1000-000000000000}"/>
  </hyperlinks>
  <pageMargins left="0.7" right="0.7" top="0.75" bottom="0.75" header="0.3" footer="0.3"/>
  <pageSetup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dimension ref="A1:F6"/>
  <sheetViews>
    <sheetView workbookViewId="0">
      <selection activeCell="F12" sqref="F12"/>
    </sheetView>
  </sheetViews>
  <sheetFormatPr defaultRowHeight="14.4"/>
  <cols>
    <col min="1" max="1" width="10.109375" bestFit="1" customWidth="1"/>
    <col min="6" max="6" width="63.44140625" customWidth="1"/>
  </cols>
  <sheetData>
    <row r="1" spans="1:6">
      <c r="A1" s="5">
        <f ca="1">TODAY()</f>
        <v>45072</v>
      </c>
    </row>
    <row r="5" spans="1:6">
      <c r="E5" s="4"/>
      <c r="F5" s="3"/>
    </row>
    <row r="6" spans="1:6">
      <c r="E6" s="4"/>
      <c r="F6" s="3"/>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E7"/>
  <sheetViews>
    <sheetView topLeftCell="A2" workbookViewId="0">
      <selection activeCell="E7" sqref="A1:E7"/>
    </sheetView>
  </sheetViews>
  <sheetFormatPr defaultColWidth="75.33203125" defaultRowHeight="14.4"/>
  <cols>
    <col min="1" max="1" width="6.109375" style="4" bestFit="1" customWidth="1"/>
    <col min="2" max="2" width="51.5546875" customWidth="1"/>
    <col min="3" max="3" width="11.44140625" bestFit="1" customWidth="1"/>
    <col min="5" max="5" width="27.6640625" customWidth="1"/>
  </cols>
  <sheetData>
    <row r="1" spans="1:5" s="2" customFormat="1">
      <c r="A1" s="32" t="s">
        <v>368</v>
      </c>
      <c r="B1" s="33" t="s">
        <v>369</v>
      </c>
      <c r="C1" s="33" t="s">
        <v>259</v>
      </c>
      <c r="D1" s="33" t="s">
        <v>370</v>
      </c>
      <c r="E1" s="34" t="s">
        <v>33</v>
      </c>
    </row>
    <row r="2" spans="1:5" ht="144">
      <c r="A2" s="35">
        <v>1</v>
      </c>
      <c r="B2" s="29" t="s">
        <v>371</v>
      </c>
      <c r="C2" s="28" t="s">
        <v>372</v>
      </c>
      <c r="D2" s="30" t="s">
        <v>373</v>
      </c>
      <c r="E2" s="36" t="s">
        <v>374</v>
      </c>
    </row>
    <row r="3" spans="1:5" ht="129.6">
      <c r="A3" s="35">
        <v>2</v>
      </c>
      <c r="B3" s="30" t="s">
        <v>375</v>
      </c>
      <c r="C3" s="28" t="s">
        <v>376</v>
      </c>
      <c r="D3" s="16" t="s">
        <v>377</v>
      </c>
      <c r="E3" s="36" t="s">
        <v>378</v>
      </c>
    </row>
    <row r="4" spans="1:5" ht="86.4">
      <c r="A4" s="35">
        <v>3</v>
      </c>
      <c r="B4" s="30" t="s">
        <v>379</v>
      </c>
      <c r="C4" s="28" t="s">
        <v>380</v>
      </c>
      <c r="D4" s="16" t="s">
        <v>381</v>
      </c>
      <c r="E4" s="36" t="s">
        <v>382</v>
      </c>
    </row>
    <row r="5" spans="1:5" ht="115.2">
      <c r="A5" s="35">
        <v>4</v>
      </c>
      <c r="B5" s="30" t="s">
        <v>383</v>
      </c>
      <c r="C5" s="31" t="s">
        <v>376</v>
      </c>
      <c r="D5" s="16" t="s">
        <v>384</v>
      </c>
      <c r="E5" s="37" t="s">
        <v>385</v>
      </c>
    </row>
    <row r="6" spans="1:5" ht="72">
      <c r="A6" s="35">
        <v>5</v>
      </c>
      <c r="B6" s="30" t="s">
        <v>386</v>
      </c>
      <c r="C6" s="28" t="s">
        <v>380</v>
      </c>
      <c r="D6" s="16" t="s">
        <v>387</v>
      </c>
      <c r="E6" s="37" t="s">
        <v>388</v>
      </c>
    </row>
    <row r="7" spans="1:5" ht="86.4">
      <c r="A7" s="38">
        <v>6</v>
      </c>
      <c r="B7" s="39" t="s">
        <v>389</v>
      </c>
      <c r="C7" s="40">
        <v>44815</v>
      </c>
      <c r="D7" s="41" t="s">
        <v>390</v>
      </c>
      <c r="E7" s="42" t="s">
        <v>391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B35"/>
  <sheetViews>
    <sheetView topLeftCell="A23" workbookViewId="0">
      <selection activeCell="A36" sqref="A36"/>
    </sheetView>
  </sheetViews>
  <sheetFormatPr defaultRowHeight="14.4"/>
  <cols>
    <col min="1" max="1" width="40.6640625" customWidth="1"/>
    <col min="2" max="2" width="26.33203125" style="2" customWidth="1"/>
  </cols>
  <sheetData>
    <row r="1" spans="1:2" ht="18">
      <c r="A1" s="325" t="s">
        <v>392</v>
      </c>
      <c r="B1" s="326"/>
    </row>
    <row r="2" spans="1:2" ht="15.6">
      <c r="A2" s="63" t="s">
        <v>393</v>
      </c>
      <c r="B2" s="64" t="s">
        <v>394</v>
      </c>
    </row>
    <row r="3" spans="1:2" ht="15.6">
      <c r="A3" s="57" t="s">
        <v>395</v>
      </c>
      <c r="B3" s="58">
        <v>17</v>
      </c>
    </row>
    <row r="4" spans="1:2">
      <c r="A4" s="323" t="s">
        <v>396</v>
      </c>
      <c r="B4" s="324"/>
    </row>
    <row r="5" spans="1:2">
      <c r="A5" s="61" t="s">
        <v>44</v>
      </c>
      <c r="B5" s="62">
        <v>1</v>
      </c>
    </row>
    <row r="6" spans="1:2">
      <c r="A6" s="61" t="s">
        <v>54</v>
      </c>
      <c r="B6" s="62">
        <v>1</v>
      </c>
    </row>
    <row r="7" spans="1:2">
      <c r="A7" s="61" t="s">
        <v>48</v>
      </c>
      <c r="B7" s="62">
        <v>1</v>
      </c>
    </row>
    <row r="8" spans="1:2">
      <c r="A8" s="61" t="s">
        <v>58</v>
      </c>
      <c r="B8" s="62">
        <v>1</v>
      </c>
    </row>
    <row r="9" spans="1:2" ht="43.2">
      <c r="A9" s="61" t="s">
        <v>39</v>
      </c>
      <c r="B9" s="62">
        <v>1</v>
      </c>
    </row>
    <row r="10" spans="1:2" ht="28.8">
      <c r="A10" s="61" t="s">
        <v>61</v>
      </c>
      <c r="B10" s="62">
        <v>7</v>
      </c>
    </row>
    <row r="11" spans="1:2">
      <c r="A11" s="61" t="s">
        <v>67</v>
      </c>
      <c r="B11" s="62">
        <v>1</v>
      </c>
    </row>
    <row r="12" spans="1:2">
      <c r="A12" s="61" t="s">
        <v>94</v>
      </c>
      <c r="B12" s="62">
        <v>1</v>
      </c>
    </row>
    <row r="13" spans="1:2" ht="28.8">
      <c r="A13" s="61" t="s">
        <v>77</v>
      </c>
      <c r="B13" s="62">
        <v>1</v>
      </c>
    </row>
    <row r="14" spans="1:2" ht="43.2">
      <c r="A14" s="61" t="s">
        <v>83</v>
      </c>
      <c r="B14" s="62">
        <v>1</v>
      </c>
    </row>
    <row r="15" spans="1:2">
      <c r="A15" s="59" t="s">
        <v>353</v>
      </c>
      <c r="B15" s="60">
        <v>16</v>
      </c>
    </row>
    <row r="16" spans="1:2" ht="28.8">
      <c r="A16" s="55" t="s">
        <v>397</v>
      </c>
      <c r="B16" s="56">
        <v>1</v>
      </c>
    </row>
    <row r="34" spans="1:1">
      <c r="A34" s="43" t="s">
        <v>398</v>
      </c>
    </row>
    <row r="35" spans="1:1">
      <c r="A35" s="43" t="s">
        <v>399</v>
      </c>
    </row>
  </sheetData>
  <mergeCells count="2">
    <mergeCell ref="A4:B4"/>
    <mergeCell ref="A1:B1"/>
  </mergeCells>
  <hyperlinks>
    <hyperlink ref="A34" r:id="rId1" xr:uid="{00000000-0004-0000-1300-000000000000}"/>
    <hyperlink ref="A35" r:id="rId2" xr:uid="{00000000-0004-0000-1300-00000100000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A6"/>
  <sheetViews>
    <sheetView workbookViewId="0">
      <selection activeCell="E12" sqref="E12"/>
    </sheetView>
  </sheetViews>
  <sheetFormatPr defaultRowHeight="14.4"/>
  <cols>
    <col min="1" max="1" width="65" bestFit="1" customWidth="1"/>
  </cols>
  <sheetData>
    <row r="1" spans="1:1" s="17" customFormat="1">
      <c r="A1" s="17" t="s">
        <v>400</v>
      </c>
    </row>
    <row r="2" spans="1:1">
      <c r="A2" t="s">
        <v>401</v>
      </c>
    </row>
    <row r="3" spans="1:1">
      <c r="A3" t="s">
        <v>402</v>
      </c>
    </row>
    <row r="4" spans="1:1">
      <c r="A4" t="s">
        <v>403</v>
      </c>
    </row>
    <row r="5" spans="1:1">
      <c r="A5" t="s">
        <v>404</v>
      </c>
    </row>
    <row r="6" spans="1:1">
      <c r="A6" t="s">
        <v>405</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
  <dimension ref="A1:F28"/>
  <sheetViews>
    <sheetView topLeftCell="A4" workbookViewId="0">
      <selection activeCell="E8" sqref="E8"/>
    </sheetView>
  </sheetViews>
  <sheetFormatPr defaultRowHeight="14.4"/>
  <cols>
    <col min="1" max="1" width="41.88671875" bestFit="1" customWidth="1"/>
    <col min="2" max="2" width="40.44140625" bestFit="1" customWidth="1"/>
    <col min="3" max="3" width="14.33203125" bestFit="1" customWidth="1"/>
    <col min="4" max="4" width="32.44140625" bestFit="1" customWidth="1"/>
  </cols>
  <sheetData>
    <row r="1" spans="1:6">
      <c r="A1" s="1" t="s">
        <v>25</v>
      </c>
      <c r="B1" t="s">
        <v>27</v>
      </c>
      <c r="C1" t="s">
        <v>406</v>
      </c>
      <c r="D1" t="s">
        <v>407</v>
      </c>
      <c r="E1" t="s">
        <v>241</v>
      </c>
      <c r="F1" t="s">
        <v>30</v>
      </c>
    </row>
    <row r="2" spans="1:6">
      <c r="A2" t="s">
        <v>408</v>
      </c>
      <c r="B2" t="s">
        <v>53</v>
      </c>
      <c r="C2" t="s">
        <v>144</v>
      </c>
      <c r="D2" t="s">
        <v>54</v>
      </c>
      <c r="E2" t="s">
        <v>4</v>
      </c>
      <c r="F2" t="s">
        <v>409</v>
      </c>
    </row>
    <row r="3" spans="1:6">
      <c r="A3" t="s">
        <v>410</v>
      </c>
      <c r="B3" t="s">
        <v>121</v>
      </c>
      <c r="C3" t="s">
        <v>253</v>
      </c>
      <c r="D3" t="s">
        <v>48</v>
      </c>
      <c r="E3" t="s">
        <v>34</v>
      </c>
      <c r="F3" t="s">
        <v>41</v>
      </c>
    </row>
    <row r="4" spans="1:6">
      <c r="A4" t="s">
        <v>53</v>
      </c>
      <c r="B4" t="s">
        <v>182</v>
      </c>
      <c r="D4" t="s">
        <v>44</v>
      </c>
      <c r="E4" t="s">
        <v>411</v>
      </c>
      <c r="F4" t="s">
        <v>412</v>
      </c>
    </row>
    <row r="5" spans="1:6">
      <c r="A5" t="s">
        <v>413</v>
      </c>
      <c r="B5" t="s">
        <v>38</v>
      </c>
      <c r="D5" t="s">
        <v>276</v>
      </c>
      <c r="E5" s="81" t="s">
        <v>113</v>
      </c>
      <c r="F5" t="s">
        <v>50</v>
      </c>
    </row>
    <row r="6" spans="1:6">
      <c r="A6" t="s">
        <v>37</v>
      </c>
      <c r="B6" t="s">
        <v>414</v>
      </c>
      <c r="D6" t="s">
        <v>58</v>
      </c>
      <c r="E6" t="s">
        <v>140</v>
      </c>
      <c r="F6" t="s">
        <v>415</v>
      </c>
    </row>
    <row r="7" spans="1:6">
      <c r="A7" t="s">
        <v>181</v>
      </c>
      <c r="B7" t="s">
        <v>416</v>
      </c>
      <c r="D7" t="s">
        <v>182</v>
      </c>
      <c r="E7" t="s">
        <v>5</v>
      </c>
    </row>
    <row r="8" spans="1:6">
      <c r="A8" t="s">
        <v>417</v>
      </c>
      <c r="B8" t="s">
        <v>117</v>
      </c>
      <c r="D8" t="s">
        <v>418</v>
      </c>
      <c r="E8" s="291" t="s">
        <v>6</v>
      </c>
    </row>
    <row r="9" spans="1:6">
      <c r="A9" t="s">
        <v>419</v>
      </c>
      <c r="D9" t="s">
        <v>61</v>
      </c>
      <c r="E9" t="s">
        <v>201</v>
      </c>
    </row>
    <row r="10" spans="1:6">
      <c r="A10" t="s">
        <v>117</v>
      </c>
      <c r="D10" t="s">
        <v>288</v>
      </c>
    </row>
    <row r="11" spans="1:6">
      <c r="A11" t="s">
        <v>420</v>
      </c>
      <c r="D11" t="s">
        <v>421</v>
      </c>
    </row>
    <row r="12" spans="1:6">
      <c r="A12" t="s">
        <v>218</v>
      </c>
      <c r="D12" t="s">
        <v>422</v>
      </c>
    </row>
    <row r="13" spans="1:6">
      <c r="A13" t="s">
        <v>116</v>
      </c>
      <c r="D13" t="s">
        <v>67</v>
      </c>
    </row>
    <row r="14" spans="1:6">
      <c r="A14" t="s">
        <v>125</v>
      </c>
      <c r="D14" t="s">
        <v>94</v>
      </c>
    </row>
    <row r="15" spans="1:6">
      <c r="D15" t="s">
        <v>77</v>
      </c>
    </row>
    <row r="16" spans="1:6" ht="43.2">
      <c r="D16" s="3" t="s">
        <v>83</v>
      </c>
    </row>
    <row r="17" spans="4:4">
      <c r="D17" t="s">
        <v>98</v>
      </c>
    </row>
    <row r="18" spans="4:4">
      <c r="D18" t="s">
        <v>423</v>
      </c>
    </row>
    <row r="19" spans="4:4">
      <c r="D19" t="s">
        <v>90</v>
      </c>
    </row>
    <row r="20" spans="4:4">
      <c r="D20" t="s">
        <v>109</v>
      </c>
    </row>
    <row r="21" spans="4:4">
      <c r="D21" t="s">
        <v>424</v>
      </c>
    </row>
    <row r="22" spans="4:4">
      <c r="D22" t="s">
        <v>408</v>
      </c>
    </row>
    <row r="23" spans="4:4">
      <c r="D23" t="s">
        <v>148</v>
      </c>
    </row>
    <row r="24" spans="4:4">
      <c r="D24" t="s">
        <v>117</v>
      </c>
    </row>
    <row r="25" spans="4:4">
      <c r="D25" t="s">
        <v>164</v>
      </c>
    </row>
    <row r="26" spans="4:4">
      <c r="D26" t="s">
        <v>154</v>
      </c>
    </row>
    <row r="27" spans="4:4">
      <c r="D27" t="s">
        <v>425</v>
      </c>
    </row>
    <row r="28" spans="4:4" ht="28.8">
      <c r="D28" s="3" t="s">
        <v>170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K51"/>
  <sheetViews>
    <sheetView workbookViewId="0">
      <pane xSplit="2" ySplit="1" topLeftCell="C37" activePane="bottomRight" state="frozen"/>
      <selection pane="topRight"/>
      <selection pane="bottomLeft"/>
      <selection pane="bottomRight" activeCell="D51" sqref="D51"/>
    </sheetView>
  </sheetViews>
  <sheetFormatPr defaultRowHeight="14.4"/>
  <cols>
    <col min="1" max="1" width="12.5546875" bestFit="1" customWidth="1"/>
    <col min="2" max="2" width="10.109375" bestFit="1" customWidth="1"/>
    <col min="4" max="4" width="39.33203125" style="3" customWidth="1"/>
    <col min="5" max="5" width="34.44140625" style="4" customWidth="1"/>
    <col min="6" max="6" width="73.5546875" style="4" customWidth="1"/>
    <col min="7" max="7" width="52.88671875" customWidth="1"/>
    <col min="8" max="8" width="48" bestFit="1" customWidth="1"/>
    <col min="9" max="9" width="44.33203125" style="3" customWidth="1"/>
  </cols>
  <sheetData>
    <row r="1" spans="1:10">
      <c r="A1" s="133"/>
      <c r="B1" s="104" t="s">
        <v>369</v>
      </c>
      <c r="C1" s="104"/>
      <c r="D1" s="134" t="s">
        <v>426</v>
      </c>
      <c r="E1" s="135" t="s">
        <v>427</v>
      </c>
      <c r="F1" s="135" t="s">
        <v>428</v>
      </c>
      <c r="G1" s="136" t="s">
        <v>429</v>
      </c>
      <c r="H1" s="137"/>
      <c r="I1" s="138"/>
      <c r="J1" s="139"/>
    </row>
    <row r="2" spans="1:10" ht="158.4">
      <c r="A2" s="50"/>
      <c r="B2" s="327" t="s">
        <v>430</v>
      </c>
      <c r="C2" s="85"/>
      <c r="D2" s="16" t="s">
        <v>431</v>
      </c>
      <c r="E2" s="26" t="s">
        <v>432</v>
      </c>
      <c r="F2" s="26"/>
      <c r="G2" s="87" t="s">
        <v>433</v>
      </c>
      <c r="H2" s="18"/>
      <c r="I2" s="16"/>
      <c r="J2" s="51"/>
    </row>
    <row r="3" spans="1:10" ht="92.4">
      <c r="A3" s="50"/>
      <c r="B3" s="327"/>
      <c r="C3" s="85"/>
      <c r="D3" s="16" t="s">
        <v>434</v>
      </c>
      <c r="E3" s="26" t="s">
        <v>435</v>
      </c>
      <c r="F3" s="26"/>
      <c r="G3" s="87" t="s">
        <v>436</v>
      </c>
      <c r="H3" s="18"/>
      <c r="I3" s="16"/>
      <c r="J3" s="51"/>
    </row>
    <row r="4" spans="1:10" ht="79.2">
      <c r="A4" s="50"/>
      <c r="B4" s="327"/>
      <c r="C4" s="85"/>
      <c r="D4" s="16" t="s">
        <v>278</v>
      </c>
      <c r="E4" s="27" t="s">
        <v>437</v>
      </c>
      <c r="F4" s="27"/>
      <c r="G4" s="87" t="s">
        <v>438</v>
      </c>
      <c r="H4" s="18"/>
      <c r="I4" s="16"/>
      <c r="J4" s="51"/>
    </row>
    <row r="5" spans="1:10" ht="118.8">
      <c r="A5" s="50"/>
      <c r="B5" s="327"/>
      <c r="C5" s="85"/>
      <c r="D5" s="16" t="s">
        <v>439</v>
      </c>
      <c r="E5" s="27" t="s">
        <v>440</v>
      </c>
      <c r="F5" s="27"/>
      <c r="G5" s="87" t="s">
        <v>441</v>
      </c>
      <c r="H5" s="18"/>
      <c r="I5" s="16"/>
      <c r="J5" s="51"/>
    </row>
    <row r="6" spans="1:10" ht="172.8">
      <c r="A6" s="50"/>
      <c r="B6" s="328" t="s">
        <v>442</v>
      </c>
      <c r="C6" s="25"/>
      <c r="D6" s="16" t="s">
        <v>443</v>
      </c>
      <c r="E6" s="23" t="s">
        <v>444</v>
      </c>
      <c r="F6" s="23"/>
      <c r="G6" s="87" t="s">
        <v>441</v>
      </c>
      <c r="H6" s="18"/>
      <c r="I6" s="16"/>
      <c r="J6" s="51"/>
    </row>
    <row r="7" spans="1:10" ht="216">
      <c r="A7" s="50"/>
      <c r="B7" s="328"/>
      <c r="C7" s="25"/>
      <c r="D7" s="16" t="s">
        <v>445</v>
      </c>
      <c r="E7" s="23" t="s">
        <v>446</v>
      </c>
      <c r="F7" s="23"/>
      <c r="G7" s="87" t="s">
        <v>447</v>
      </c>
      <c r="H7" s="18"/>
      <c r="I7" s="16"/>
      <c r="J7" s="51"/>
    </row>
    <row r="8" spans="1:10">
      <c r="A8" s="50"/>
      <c r="B8" s="88" t="s">
        <v>448</v>
      </c>
      <c r="C8" s="88"/>
      <c r="D8" s="88" t="s">
        <v>369</v>
      </c>
      <c r="E8" s="89" t="s">
        <v>23</v>
      </c>
      <c r="F8" s="89" t="s">
        <v>449</v>
      </c>
      <c r="G8" s="88" t="s">
        <v>370</v>
      </c>
      <c r="H8" s="88" t="s">
        <v>33</v>
      </c>
      <c r="I8" s="16"/>
      <c r="J8" s="51"/>
    </row>
    <row r="9" spans="1:10" ht="86.4">
      <c r="A9" s="50"/>
      <c r="B9" s="90">
        <v>1</v>
      </c>
      <c r="C9" s="90"/>
      <c r="D9" s="90" t="s">
        <v>57</v>
      </c>
      <c r="E9" s="91" t="s">
        <v>450</v>
      </c>
      <c r="F9" s="91"/>
      <c r="G9" s="90" t="s">
        <v>451</v>
      </c>
      <c r="H9" s="92" t="s">
        <v>452</v>
      </c>
      <c r="I9" s="16"/>
      <c r="J9" s="51"/>
    </row>
    <row r="10" spans="1:10" ht="115.2">
      <c r="A10" s="50"/>
      <c r="B10" s="90">
        <v>2</v>
      </c>
      <c r="C10" s="90"/>
      <c r="D10" s="90" t="s">
        <v>63</v>
      </c>
      <c r="E10" s="91" t="s">
        <v>453</v>
      </c>
      <c r="F10" s="91"/>
      <c r="G10" s="90" t="s">
        <v>454</v>
      </c>
      <c r="H10" s="92" t="s">
        <v>455</v>
      </c>
      <c r="I10" s="16"/>
      <c r="J10" s="51"/>
    </row>
    <row r="11" spans="1:10" ht="43.2">
      <c r="A11" s="50"/>
      <c r="B11" s="90">
        <v>3</v>
      </c>
      <c r="C11" s="90"/>
      <c r="D11" s="90" t="s">
        <v>66</v>
      </c>
      <c r="E11" s="91" t="s">
        <v>414</v>
      </c>
      <c r="F11" s="91"/>
      <c r="G11" s="90" t="s">
        <v>456</v>
      </c>
      <c r="H11" s="90" t="s">
        <v>457</v>
      </c>
      <c r="I11" s="16"/>
      <c r="J11" s="51"/>
    </row>
    <row r="12" spans="1:10" ht="158.4">
      <c r="A12" s="50"/>
      <c r="B12" s="90">
        <v>4</v>
      </c>
      <c r="C12" s="90"/>
      <c r="D12" s="90" t="s">
        <v>69</v>
      </c>
      <c r="E12" s="91" t="s">
        <v>458</v>
      </c>
      <c r="F12" s="91"/>
      <c r="G12" s="90" t="s">
        <v>459</v>
      </c>
      <c r="H12" s="92" t="s">
        <v>460</v>
      </c>
      <c r="I12" s="16"/>
      <c r="J12" s="51"/>
    </row>
    <row r="13" spans="1:10" ht="244.8">
      <c r="A13" s="50" t="s">
        <v>461</v>
      </c>
      <c r="B13" s="18">
        <v>5</v>
      </c>
      <c r="C13" s="18"/>
      <c r="D13" s="29" t="s">
        <v>371</v>
      </c>
      <c r="E13" s="28" t="s">
        <v>372</v>
      </c>
      <c r="F13" s="28"/>
      <c r="G13" s="16" t="s">
        <v>462</v>
      </c>
      <c r="H13" s="44" t="s">
        <v>463</v>
      </c>
      <c r="I13" s="16"/>
      <c r="J13" s="51"/>
    </row>
    <row r="14" spans="1:10" ht="187.2">
      <c r="A14" s="50"/>
      <c r="B14" s="18">
        <v>6</v>
      </c>
      <c r="C14" s="18"/>
      <c r="D14" s="30" t="s">
        <v>375</v>
      </c>
      <c r="E14" s="28" t="s">
        <v>376</v>
      </c>
      <c r="F14" s="28"/>
      <c r="G14" s="16" t="s">
        <v>464</v>
      </c>
      <c r="H14" s="44" t="s">
        <v>465</v>
      </c>
      <c r="I14" s="16"/>
      <c r="J14" s="51"/>
    </row>
    <row r="15" spans="1:10" ht="172.8">
      <c r="A15" s="50"/>
      <c r="B15" s="18">
        <v>7</v>
      </c>
      <c r="C15" s="18"/>
      <c r="D15" s="30" t="s">
        <v>379</v>
      </c>
      <c r="E15" s="28" t="s">
        <v>380</v>
      </c>
      <c r="F15" s="28"/>
      <c r="G15" s="16" t="s">
        <v>466</v>
      </c>
      <c r="H15" s="44" t="s">
        <v>467</v>
      </c>
      <c r="I15" s="16"/>
      <c r="J15" s="51"/>
    </row>
    <row r="16" spans="1:10" ht="144">
      <c r="A16" s="50"/>
      <c r="B16" s="18">
        <v>8</v>
      </c>
      <c r="C16" s="18"/>
      <c r="D16" s="30" t="s">
        <v>383</v>
      </c>
      <c r="E16" s="31" t="s">
        <v>376</v>
      </c>
      <c r="F16" s="31"/>
      <c r="G16" s="16" t="s">
        <v>384</v>
      </c>
      <c r="H16" s="16" t="s">
        <v>468</v>
      </c>
      <c r="I16" s="16"/>
      <c r="J16" s="51"/>
    </row>
    <row r="17" spans="1:10" ht="72">
      <c r="A17" s="50"/>
      <c r="B17" s="18">
        <v>9</v>
      </c>
      <c r="C17" s="18"/>
      <c r="D17" s="30" t="s">
        <v>386</v>
      </c>
      <c r="E17" s="28" t="s">
        <v>380</v>
      </c>
      <c r="F17" s="28"/>
      <c r="G17" s="16" t="s">
        <v>469</v>
      </c>
      <c r="H17" s="16" t="s">
        <v>470</v>
      </c>
      <c r="I17" s="16"/>
      <c r="J17" s="51"/>
    </row>
    <row r="18" spans="1:10" ht="129.6">
      <c r="A18" s="50"/>
      <c r="B18" s="18">
        <v>10</v>
      </c>
      <c r="C18" s="18"/>
      <c r="D18" s="30" t="s">
        <v>389</v>
      </c>
      <c r="E18" s="31">
        <v>44815</v>
      </c>
      <c r="F18" s="31"/>
      <c r="G18" s="16" t="s">
        <v>390</v>
      </c>
      <c r="H18" s="16" t="s">
        <v>471</v>
      </c>
      <c r="I18" s="16"/>
      <c r="J18" s="51"/>
    </row>
    <row r="19" spans="1:10" ht="129.6">
      <c r="A19" s="50" t="s">
        <v>472</v>
      </c>
      <c r="B19" s="18">
        <v>11</v>
      </c>
      <c r="C19" s="18"/>
      <c r="D19" s="30" t="s">
        <v>473</v>
      </c>
      <c r="E19" s="28" t="s">
        <v>474</v>
      </c>
      <c r="F19" s="93" t="s">
        <v>475</v>
      </c>
      <c r="G19" s="16" t="s">
        <v>476</v>
      </c>
      <c r="H19" s="18" t="s">
        <v>477</v>
      </c>
      <c r="I19" s="16"/>
      <c r="J19" s="51"/>
    </row>
    <row r="20" spans="1:10" ht="83.4">
      <c r="A20" s="50"/>
      <c r="B20" s="18">
        <v>12</v>
      </c>
      <c r="C20" s="18"/>
      <c r="D20" s="94" t="s">
        <v>478</v>
      </c>
      <c r="E20" s="28" t="s">
        <v>479</v>
      </c>
      <c r="F20" s="93" t="s">
        <v>480</v>
      </c>
      <c r="G20" s="16" t="s">
        <v>481</v>
      </c>
      <c r="H20" s="18"/>
      <c r="I20" s="16"/>
      <c r="J20" s="51"/>
    </row>
    <row r="21" spans="1:10" ht="86.4">
      <c r="A21" s="50" t="s">
        <v>482</v>
      </c>
      <c r="B21" s="18">
        <v>13</v>
      </c>
      <c r="C21" s="18"/>
      <c r="D21" s="16" t="s">
        <v>483</v>
      </c>
      <c r="E21" s="31" t="s">
        <v>484</v>
      </c>
      <c r="F21" s="84" t="s">
        <v>485</v>
      </c>
      <c r="G21" s="95" t="s">
        <v>486</v>
      </c>
      <c r="H21" s="18"/>
      <c r="I21" s="16"/>
      <c r="J21" s="51"/>
    </row>
    <row r="22" spans="1:10" ht="144">
      <c r="A22" s="50"/>
      <c r="B22" s="18">
        <v>14</v>
      </c>
      <c r="C22" s="18"/>
      <c r="D22" s="16" t="s">
        <v>487</v>
      </c>
      <c r="E22" s="28" t="s">
        <v>488</v>
      </c>
      <c r="F22" s="93" t="s">
        <v>489</v>
      </c>
      <c r="G22" s="96" t="s">
        <v>490</v>
      </c>
      <c r="H22" s="18" t="s">
        <v>491</v>
      </c>
      <c r="I22" s="16"/>
      <c r="J22" s="51"/>
    </row>
    <row r="23" spans="1:10" ht="144">
      <c r="A23" s="50" t="s">
        <v>492</v>
      </c>
      <c r="B23" s="18">
        <v>15</v>
      </c>
      <c r="C23" s="18"/>
      <c r="D23" s="16" t="s">
        <v>493</v>
      </c>
      <c r="E23" s="28" t="s">
        <v>494</v>
      </c>
      <c r="F23" s="93" t="s">
        <v>495</v>
      </c>
      <c r="G23" s="16" t="s">
        <v>496</v>
      </c>
      <c r="H23" s="16" t="s">
        <v>497</v>
      </c>
      <c r="I23" s="16"/>
      <c r="J23" s="51"/>
    </row>
    <row r="24" spans="1:10" ht="57.6">
      <c r="A24" s="50" t="s">
        <v>498</v>
      </c>
      <c r="B24" s="18">
        <v>16</v>
      </c>
      <c r="C24" s="18"/>
      <c r="D24" s="16" t="s">
        <v>108</v>
      </c>
      <c r="E24" s="31">
        <v>44724</v>
      </c>
      <c r="F24" s="93" t="s">
        <v>499</v>
      </c>
      <c r="G24" s="16" t="s">
        <v>500</v>
      </c>
      <c r="H24" s="30" t="s">
        <v>501</v>
      </c>
      <c r="I24" s="16"/>
      <c r="J24" s="51"/>
    </row>
    <row r="25" spans="1:10" ht="158.4">
      <c r="A25" s="50" t="s">
        <v>502</v>
      </c>
      <c r="B25" s="18">
        <v>17</v>
      </c>
      <c r="C25" s="18"/>
      <c r="D25" s="16" t="s">
        <v>503</v>
      </c>
      <c r="E25" s="31">
        <v>44816</v>
      </c>
      <c r="F25" s="93" t="s">
        <v>504</v>
      </c>
      <c r="G25" s="30" t="s">
        <v>505</v>
      </c>
      <c r="H25" s="30" t="s">
        <v>506</v>
      </c>
      <c r="I25" s="16"/>
      <c r="J25" s="51"/>
    </row>
    <row r="26" spans="1:10" ht="158.4">
      <c r="A26" s="50" t="s">
        <v>507</v>
      </c>
      <c r="B26" s="18">
        <v>18</v>
      </c>
      <c r="C26" s="18"/>
      <c r="D26" s="30" t="s">
        <v>508</v>
      </c>
      <c r="E26" s="97" t="s">
        <v>509</v>
      </c>
      <c r="F26" s="93" t="s">
        <v>510</v>
      </c>
      <c r="G26" s="98" t="s">
        <v>511</v>
      </c>
      <c r="H26" s="16" t="s">
        <v>512</v>
      </c>
      <c r="I26" s="99" t="s">
        <v>513</v>
      </c>
      <c r="J26" s="51"/>
    </row>
    <row r="27" spans="1:10" ht="100.8">
      <c r="A27" s="50"/>
      <c r="B27" s="18">
        <v>19</v>
      </c>
      <c r="C27" s="18"/>
      <c r="D27" s="30" t="s">
        <v>514</v>
      </c>
      <c r="E27" s="100" t="s">
        <v>515</v>
      </c>
      <c r="F27" s="93" t="s">
        <v>516</v>
      </c>
      <c r="G27" s="30" t="s">
        <v>517</v>
      </c>
      <c r="H27" s="16" t="s">
        <v>518</v>
      </c>
      <c r="I27" s="30" t="s">
        <v>519</v>
      </c>
      <c r="J27" s="51"/>
    </row>
    <row r="28" spans="1:10" ht="100.8">
      <c r="A28" s="50"/>
      <c r="B28" s="18">
        <v>20</v>
      </c>
      <c r="C28" s="18"/>
      <c r="D28" s="44" t="s">
        <v>132</v>
      </c>
      <c r="E28" s="28" t="s">
        <v>520</v>
      </c>
      <c r="F28" s="93" t="s">
        <v>521</v>
      </c>
      <c r="G28" s="16" t="s">
        <v>522</v>
      </c>
      <c r="H28" s="16" t="s">
        <v>523</v>
      </c>
      <c r="I28" s="30" t="s">
        <v>524</v>
      </c>
      <c r="J28" s="51"/>
    </row>
    <row r="29" spans="1:10" ht="100.8">
      <c r="A29" s="50"/>
      <c r="B29" s="18">
        <v>21</v>
      </c>
      <c r="C29" s="18"/>
      <c r="D29" s="30" t="s">
        <v>525</v>
      </c>
      <c r="E29" s="23" t="s">
        <v>526</v>
      </c>
      <c r="F29" s="93" t="s">
        <v>527</v>
      </c>
      <c r="G29" s="16" t="s">
        <v>528</v>
      </c>
      <c r="H29" s="18" t="s">
        <v>529</v>
      </c>
      <c r="I29" s="30" t="s">
        <v>530</v>
      </c>
      <c r="J29" s="51"/>
    </row>
    <row r="30" spans="1:10" ht="302.39999999999998">
      <c r="A30" s="50"/>
      <c r="B30" s="18">
        <v>23</v>
      </c>
      <c r="C30" s="18"/>
      <c r="D30" s="16" t="s">
        <v>531</v>
      </c>
      <c r="E30" s="97" t="s">
        <v>532</v>
      </c>
      <c r="F30" s="101" t="s">
        <v>533</v>
      </c>
      <c r="G30" s="30" t="s">
        <v>534</v>
      </c>
      <c r="H30" s="102" t="s">
        <v>535</v>
      </c>
      <c r="I30" s="30" t="s">
        <v>536</v>
      </c>
      <c r="J30" s="51"/>
    </row>
    <row r="31" spans="1:10" ht="187.2">
      <c r="A31" s="50"/>
      <c r="B31" s="18">
        <v>24</v>
      </c>
      <c r="C31" s="18"/>
      <c r="D31" s="16" t="s">
        <v>537</v>
      </c>
      <c r="E31" s="28" t="s">
        <v>538</v>
      </c>
      <c r="F31" s="93" t="s">
        <v>539</v>
      </c>
      <c r="G31" s="30" t="s">
        <v>540</v>
      </c>
      <c r="H31" s="16" t="s">
        <v>541</v>
      </c>
      <c r="I31" s="16" t="s">
        <v>542</v>
      </c>
      <c r="J31" s="51"/>
    </row>
    <row r="32" spans="1:10" ht="216">
      <c r="A32" s="50"/>
      <c r="B32" s="18">
        <v>25</v>
      </c>
      <c r="C32" s="18"/>
      <c r="D32" s="30" t="s">
        <v>543</v>
      </c>
      <c r="E32" s="23" t="s">
        <v>544</v>
      </c>
      <c r="F32" s="93" t="s">
        <v>545</v>
      </c>
      <c r="G32" s="106" t="s">
        <v>546</v>
      </c>
      <c r="H32" s="30" t="s">
        <v>547</v>
      </c>
      <c r="I32" s="30" t="s">
        <v>548</v>
      </c>
      <c r="J32" s="51"/>
    </row>
    <row r="33" spans="1:11" ht="187.2">
      <c r="A33" s="50"/>
      <c r="B33" s="18">
        <v>26</v>
      </c>
      <c r="C33" s="18"/>
      <c r="D33" s="16" t="s">
        <v>549</v>
      </c>
      <c r="E33" s="23" t="s">
        <v>550</v>
      </c>
      <c r="F33" s="101" t="s">
        <v>551</v>
      </c>
      <c r="G33" s="16"/>
      <c r="H33" s="16" t="s">
        <v>552</v>
      </c>
      <c r="I33" s="16" t="s">
        <v>553</v>
      </c>
      <c r="J33" s="140" t="s">
        <v>160</v>
      </c>
    </row>
    <row r="34" spans="1:11" s="107" customFormat="1" ht="187.2">
      <c r="A34" s="141"/>
      <c r="B34" s="128">
        <v>27</v>
      </c>
      <c r="C34" s="127"/>
      <c r="D34" s="114" t="s">
        <v>554</v>
      </c>
      <c r="E34" s="129" t="s">
        <v>555</v>
      </c>
      <c r="F34" s="101" t="s">
        <v>556</v>
      </c>
      <c r="G34" s="130" t="s">
        <v>557</v>
      </c>
      <c r="H34" s="114" t="s">
        <v>558</v>
      </c>
      <c r="I34" s="114" t="s">
        <v>559</v>
      </c>
      <c r="J34" s="142" t="s">
        <v>160</v>
      </c>
      <c r="K34" s="131"/>
    </row>
    <row r="35" spans="1:11" s="108" customFormat="1" ht="144">
      <c r="A35" s="143"/>
      <c r="B35" s="108">
        <v>28</v>
      </c>
      <c r="D35" s="109" t="s">
        <v>560</v>
      </c>
      <c r="E35" s="110" t="s">
        <v>561</v>
      </c>
      <c r="F35" s="111" t="s">
        <v>562</v>
      </c>
      <c r="H35" s="112" t="s">
        <v>563</v>
      </c>
      <c r="I35" s="112" t="s">
        <v>564</v>
      </c>
      <c r="J35" s="144" t="s">
        <v>160</v>
      </c>
      <c r="K35" s="132"/>
    </row>
    <row r="36" spans="1:11" ht="129.6">
      <c r="A36" s="52"/>
      <c r="B36" s="145">
        <v>29</v>
      </c>
      <c r="C36" s="145"/>
      <c r="D36" s="146" t="s">
        <v>565</v>
      </c>
      <c r="E36" s="147" t="s">
        <v>566</v>
      </c>
      <c r="F36" s="118" t="s">
        <v>567</v>
      </c>
      <c r="G36" s="148"/>
      <c r="H36" s="149" t="s">
        <v>568</v>
      </c>
      <c r="I36" s="41" t="s">
        <v>569</v>
      </c>
      <c r="J36" s="150" t="s">
        <v>160</v>
      </c>
    </row>
    <row r="37" spans="1:11" ht="115.2">
      <c r="B37">
        <v>30</v>
      </c>
      <c r="D37" s="3" t="s">
        <v>570</v>
      </c>
      <c r="E37" s="220" t="s">
        <v>571</v>
      </c>
      <c r="F37" s="113" t="s">
        <v>572</v>
      </c>
      <c r="G37" s="3" t="s">
        <v>573</v>
      </c>
      <c r="H37" s="3" t="s">
        <v>574</v>
      </c>
      <c r="I37" s="3" t="s">
        <v>575</v>
      </c>
      <c r="J37" s="43" t="s">
        <v>160</v>
      </c>
    </row>
    <row r="38" spans="1:11" s="243" customFormat="1" ht="247.5" customHeight="1">
      <c r="B38" s="243">
        <v>31</v>
      </c>
      <c r="D38" s="244" t="s">
        <v>576</v>
      </c>
      <c r="E38" s="245" t="s">
        <v>577</v>
      </c>
      <c r="F38" s="246" t="s">
        <v>578</v>
      </c>
      <c r="G38" s="244" t="s">
        <v>579</v>
      </c>
      <c r="H38" s="244" t="s">
        <v>580</v>
      </c>
      <c r="I38" s="244" t="s">
        <v>581</v>
      </c>
      <c r="J38" s="247" t="s">
        <v>160</v>
      </c>
      <c r="K38" s="247" t="s">
        <v>582</v>
      </c>
    </row>
    <row r="39" spans="1:11" s="18" customFormat="1" ht="216">
      <c r="A39" s="243"/>
      <c r="B39" s="243">
        <v>32</v>
      </c>
      <c r="C39" s="243"/>
      <c r="D39" s="244" t="s">
        <v>583</v>
      </c>
      <c r="E39" s="245" t="s">
        <v>584</v>
      </c>
      <c r="F39" s="246" t="s">
        <v>585</v>
      </c>
      <c r="G39" s="244" t="s">
        <v>586</v>
      </c>
      <c r="H39" s="244" t="s">
        <v>587</v>
      </c>
      <c r="I39" s="249" t="s">
        <v>588</v>
      </c>
      <c r="J39" s="219" t="s">
        <v>160</v>
      </c>
    </row>
    <row r="40" spans="1:11" ht="187.5" customHeight="1">
      <c r="A40" s="250"/>
      <c r="B40" s="250">
        <v>33</v>
      </c>
      <c r="C40" s="250"/>
      <c r="D40" s="251" t="s">
        <v>589</v>
      </c>
      <c r="E40" s="252" t="s">
        <v>590</v>
      </c>
      <c r="F40" s="253" t="s">
        <v>591</v>
      </c>
      <c r="G40" s="251" t="s">
        <v>592</v>
      </c>
      <c r="H40" s="251" t="s">
        <v>593</v>
      </c>
      <c r="I40" s="254" t="s">
        <v>594</v>
      </c>
      <c r="J40" s="43" t="s">
        <v>160</v>
      </c>
      <c r="K40" s="43" t="s">
        <v>582</v>
      </c>
    </row>
    <row r="41" spans="1:11" ht="244.8">
      <c r="A41" s="243"/>
      <c r="B41" s="257">
        <v>34</v>
      </c>
      <c r="C41" s="243"/>
      <c r="D41" s="258" t="s">
        <v>595</v>
      </c>
      <c r="E41" s="245" t="s">
        <v>596</v>
      </c>
      <c r="F41" s="259" t="s">
        <v>597</v>
      </c>
      <c r="G41" s="260" t="s">
        <v>598</v>
      </c>
      <c r="H41" s="261" t="s">
        <v>599</v>
      </c>
      <c r="I41" s="260" t="s">
        <v>600</v>
      </c>
      <c r="J41" s="265" t="s">
        <v>601</v>
      </c>
    </row>
    <row r="42" spans="1:11" ht="100.8">
      <c r="A42" s="266"/>
      <c r="B42" s="243">
        <v>35</v>
      </c>
      <c r="C42" s="122"/>
      <c r="D42" s="262" t="s">
        <v>602</v>
      </c>
      <c r="E42" s="263" t="s">
        <v>603</v>
      </c>
      <c r="F42" s="259" t="s">
        <v>604</v>
      </c>
      <c r="G42" s="244" t="s">
        <v>605</v>
      </c>
      <c r="H42" s="264"/>
      <c r="I42" s="244" t="s">
        <v>606</v>
      </c>
      <c r="J42" s="265" t="s">
        <v>607</v>
      </c>
    </row>
    <row r="43" spans="1:11" ht="158.4">
      <c r="A43" s="18"/>
      <c r="B43" s="18">
        <v>36</v>
      </c>
      <c r="C43" s="18"/>
      <c r="D43" s="16" t="s">
        <v>608</v>
      </c>
      <c r="E43" s="23" t="s">
        <v>609</v>
      </c>
      <c r="F43" s="173" t="s">
        <v>610</v>
      </c>
      <c r="G43" s="18"/>
      <c r="H43" s="267" t="s">
        <v>611</v>
      </c>
      <c r="I43" s="16" t="s">
        <v>612</v>
      </c>
      <c r="J43" s="219" t="s">
        <v>613</v>
      </c>
    </row>
    <row r="44" spans="1:11" ht="187.2">
      <c r="B44">
        <v>37</v>
      </c>
      <c r="D44" s="3" t="s">
        <v>614</v>
      </c>
      <c r="E44" s="273" t="s">
        <v>615</v>
      </c>
      <c r="F44" s="113" t="s">
        <v>616</v>
      </c>
      <c r="G44" s="272"/>
      <c r="H44" s="261" t="s">
        <v>617</v>
      </c>
      <c r="I44" s="3" t="s">
        <v>618</v>
      </c>
      <c r="J44" s="43" t="s">
        <v>619</v>
      </c>
    </row>
    <row r="45" spans="1:11" ht="172.8">
      <c r="B45">
        <v>39</v>
      </c>
      <c r="D45" s="3" t="s">
        <v>620</v>
      </c>
      <c r="E45" s="24" t="s">
        <v>621</v>
      </c>
      <c r="F45" s="113" t="s">
        <v>622</v>
      </c>
      <c r="G45" t="s">
        <v>623</v>
      </c>
      <c r="H45" s="3" t="s">
        <v>624</v>
      </c>
      <c r="I45" s="3" t="s">
        <v>625</v>
      </c>
      <c r="J45" s="43" t="s">
        <v>160</v>
      </c>
    </row>
    <row r="46" spans="1:11" ht="100.8">
      <c r="B46">
        <v>40</v>
      </c>
      <c r="D46" s="3" t="s">
        <v>626</v>
      </c>
      <c r="E46" s="24" t="s">
        <v>627</v>
      </c>
      <c r="F46" s="113" t="s">
        <v>628</v>
      </c>
      <c r="H46" s="3" t="s">
        <v>629</v>
      </c>
      <c r="I46" s="3" t="s">
        <v>630</v>
      </c>
      <c r="J46" s="43" t="s">
        <v>160</v>
      </c>
    </row>
    <row r="47" spans="1:11" ht="115.2">
      <c r="B47">
        <v>41</v>
      </c>
      <c r="D47" s="3" t="s">
        <v>631</v>
      </c>
      <c r="E47" s="24" t="s">
        <v>632</v>
      </c>
      <c r="F47" s="284" t="s">
        <v>633</v>
      </c>
      <c r="H47" s="3" t="s">
        <v>634</v>
      </c>
      <c r="I47" s="3" t="s">
        <v>635</v>
      </c>
      <c r="J47" s="43" t="s">
        <v>160</v>
      </c>
    </row>
    <row r="48" spans="1:11" ht="244.8">
      <c r="B48">
        <v>42</v>
      </c>
      <c r="D48" s="3" t="s">
        <v>636</v>
      </c>
      <c r="E48" s="24" t="s">
        <v>637</v>
      </c>
      <c r="F48" s="113" t="s">
        <v>638</v>
      </c>
      <c r="G48" t="s">
        <v>639</v>
      </c>
      <c r="H48" s="3" t="s">
        <v>640</v>
      </c>
      <c r="I48" s="3" t="s">
        <v>641</v>
      </c>
    </row>
    <row r="49" spans="2:11" ht="151.5" customHeight="1">
      <c r="B49">
        <v>43</v>
      </c>
      <c r="D49" s="285" t="s">
        <v>642</v>
      </c>
      <c r="E49" s="286" t="s">
        <v>643</v>
      </c>
      <c r="F49" s="287" t="s">
        <v>644</v>
      </c>
      <c r="G49" s="288" t="s">
        <v>645</v>
      </c>
      <c r="H49" s="289" t="s">
        <v>646</v>
      </c>
      <c r="I49" s="290" t="s">
        <v>647</v>
      </c>
      <c r="J49" s="43" t="s">
        <v>160</v>
      </c>
    </row>
    <row r="50" spans="2:11" ht="92.25" customHeight="1">
      <c r="B50">
        <v>44</v>
      </c>
      <c r="D50" s="3" t="s">
        <v>648</v>
      </c>
      <c r="E50" s="273" t="s">
        <v>649</v>
      </c>
      <c r="F50" s="113" t="s">
        <v>650</v>
      </c>
      <c r="G50" s="113" t="s">
        <v>651</v>
      </c>
      <c r="H50" s="3" t="s">
        <v>652</v>
      </c>
      <c r="I50" s="113" t="s">
        <v>653</v>
      </c>
      <c r="J50" s="43" t="s">
        <v>160</v>
      </c>
      <c r="K50" s="43" t="s">
        <v>582</v>
      </c>
    </row>
    <row r="51" spans="2:11" ht="158.4">
      <c r="B51">
        <v>45</v>
      </c>
      <c r="D51" s="3" t="s">
        <v>654</v>
      </c>
      <c r="E51" s="24" t="s">
        <v>655</v>
      </c>
      <c r="F51" s="315" t="s">
        <v>656</v>
      </c>
      <c r="G51" s="3" t="s">
        <v>657</v>
      </c>
      <c r="H51" s="3" t="s">
        <v>658</v>
      </c>
      <c r="I51" s="316" t="s">
        <v>659</v>
      </c>
    </row>
  </sheetData>
  <mergeCells count="2">
    <mergeCell ref="B2:B5"/>
    <mergeCell ref="B6:B7"/>
  </mergeCells>
  <dataValidations count="1">
    <dataValidation allowBlank="1" showInputMessage="1" showErrorMessage="1" sqref="F1:F1048576" xr:uid="{00000000-0002-0000-1600-000000000000}"/>
  </dataValidations>
  <hyperlinks>
    <hyperlink ref="I26" r:id="rId1" display="https://meet.google.com/zkr-khjx-ygc" xr:uid="{00000000-0004-0000-1600-000000000000}"/>
    <hyperlink ref="H30" r:id="rId2" xr:uid="{00000000-0004-0000-1600-000001000000}"/>
    <hyperlink ref="J33" r:id="rId3" xr:uid="{00000000-0004-0000-1600-000002000000}"/>
    <hyperlink ref="J34" r:id="rId4" xr:uid="{00000000-0004-0000-1600-000003000000}"/>
    <hyperlink ref="J35" r:id="rId5" xr:uid="{00000000-0004-0000-1600-000004000000}"/>
    <hyperlink ref="J36" r:id="rId6" display="38" xr:uid="{00000000-0004-0000-1600-000005000000}"/>
    <hyperlink ref="J37" r:id="rId7" xr:uid="{00000000-0004-0000-1600-000006000000}"/>
    <hyperlink ref="J38" r:id="rId8" xr:uid="{00000000-0004-0000-1600-000007000000}"/>
    <hyperlink ref="K38" r:id="rId9" xr:uid="{00000000-0004-0000-1600-000008000000}"/>
    <hyperlink ref="J39" r:id="rId10" xr:uid="{00000000-0004-0000-1600-000009000000}"/>
    <hyperlink ref="J40" r:id="rId11" xr:uid="{00000000-0004-0000-1600-00000A000000}"/>
    <hyperlink ref="K40" r:id="rId12" xr:uid="{00000000-0004-0000-1600-00000B000000}"/>
    <hyperlink ref="J43" r:id="rId13" xr:uid="{00000000-0004-0000-1600-00000C000000}"/>
    <hyperlink ref="J44" r:id="rId14" xr:uid="{00000000-0004-0000-1600-00000D000000}"/>
    <hyperlink ref="J45" r:id="rId15" xr:uid="{00000000-0004-0000-1600-00000E000000}"/>
    <hyperlink ref="J46" r:id="rId16" xr:uid="{00000000-0004-0000-1600-00000F000000}"/>
    <hyperlink ref="J47" r:id="rId17" xr:uid="{00000000-0004-0000-1600-000010000000}"/>
    <hyperlink ref="J49" r:id="rId18" xr:uid="{00000000-0004-0000-1600-000011000000}"/>
    <hyperlink ref="J50" r:id="rId19" xr:uid="{00000000-0004-0000-1600-000012000000}"/>
    <hyperlink ref="K50" r:id="rId20" xr:uid="{00000000-0004-0000-1600-000013000000}"/>
  </hyperlinks>
  <pageMargins left="0.7" right="0.7" top="0.75" bottom="0.75" header="0.3" footer="0.3"/>
  <legacyDrawing r:id="rId2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C6:J21"/>
  <sheetViews>
    <sheetView workbookViewId="0">
      <selection activeCell="C6" sqref="C6:H7"/>
    </sheetView>
  </sheetViews>
  <sheetFormatPr defaultRowHeight="14.4"/>
  <cols>
    <col min="2" max="2" width="2.88671875" customWidth="1"/>
    <col min="3" max="3" width="32" customWidth="1"/>
    <col min="4" max="4" width="12.33203125" bestFit="1" customWidth="1"/>
    <col min="5" max="5" width="35.5546875" customWidth="1"/>
    <col min="6" max="6" width="49.109375" customWidth="1"/>
    <col min="7" max="7" width="26.44140625" customWidth="1"/>
    <col min="8" max="8" width="35.33203125" customWidth="1"/>
    <col min="9" max="9" width="20.6640625" style="3" customWidth="1"/>
  </cols>
  <sheetData>
    <row r="6" spans="3:10" s="17" customFormat="1">
      <c r="C6" s="103" t="s">
        <v>303</v>
      </c>
      <c r="D6" s="104" t="s">
        <v>660</v>
      </c>
      <c r="E6" s="104" t="s">
        <v>661</v>
      </c>
      <c r="F6" s="104" t="s">
        <v>662</v>
      </c>
      <c r="G6" s="104" t="s">
        <v>663</v>
      </c>
      <c r="H6" s="105" t="s">
        <v>33</v>
      </c>
      <c r="I6" s="296"/>
    </row>
    <row r="7" spans="3:10" ht="230.4">
      <c r="C7" s="317" t="s">
        <v>654</v>
      </c>
      <c r="D7" s="53" t="s">
        <v>655</v>
      </c>
      <c r="E7" s="118" t="s">
        <v>656</v>
      </c>
      <c r="F7" s="41" t="s">
        <v>657</v>
      </c>
      <c r="G7" s="41" t="s">
        <v>658</v>
      </c>
      <c r="H7" s="42" t="s">
        <v>659</v>
      </c>
      <c r="I7" s="43" t="s">
        <v>160</v>
      </c>
      <c r="J7" s="43" t="s">
        <v>664</v>
      </c>
    </row>
    <row r="13" spans="3:10" s="17" customFormat="1">
      <c r="C13" s="103" t="s">
        <v>303</v>
      </c>
      <c r="D13" s="104" t="s">
        <v>665</v>
      </c>
      <c r="E13" s="104" t="s">
        <v>666</v>
      </c>
      <c r="F13" s="104" t="s">
        <v>667</v>
      </c>
      <c r="G13" s="104" t="s">
        <v>668</v>
      </c>
      <c r="H13" s="105" t="s">
        <v>33</v>
      </c>
      <c r="I13" s="296"/>
    </row>
    <row r="14" spans="3:10">
      <c r="C14" s="115"/>
      <c r="D14" s="116"/>
      <c r="E14" s="116"/>
      <c r="F14" s="117"/>
      <c r="G14" s="118"/>
      <c r="H14" s="119"/>
    </row>
    <row r="17" spans="3:9">
      <c r="C17" s="311" t="s">
        <v>669</v>
      </c>
      <c r="D17" s="297" t="s">
        <v>114</v>
      </c>
      <c r="E17" s="297" t="s">
        <v>7</v>
      </c>
      <c r="F17" s="297" t="s">
        <v>142</v>
      </c>
      <c r="G17" s="297" t="s">
        <v>9</v>
      </c>
      <c r="H17" s="297" t="s">
        <v>203</v>
      </c>
      <c r="I17" s="298" t="s">
        <v>33</v>
      </c>
    </row>
    <row r="18" spans="3:9">
      <c r="C18" s="312" t="s">
        <v>670</v>
      </c>
      <c r="D18" s="18"/>
      <c r="E18" s="18"/>
      <c r="F18" s="18" t="s">
        <v>144</v>
      </c>
      <c r="G18" s="18"/>
      <c r="H18" s="18"/>
      <c r="I18" s="275"/>
    </row>
    <row r="19" spans="3:9" ht="57.6">
      <c r="C19" s="312" t="s">
        <v>671</v>
      </c>
      <c r="D19" s="28"/>
      <c r="E19" s="28" t="s">
        <v>144</v>
      </c>
      <c r="F19" s="28"/>
      <c r="G19" s="28"/>
      <c r="H19" s="28" t="s">
        <v>144</v>
      </c>
      <c r="I19" s="275" t="s">
        <v>672</v>
      </c>
    </row>
    <row r="20" spans="3:9" ht="28.8">
      <c r="C20" s="312" t="s">
        <v>673</v>
      </c>
      <c r="D20" s="28"/>
      <c r="E20" s="28"/>
      <c r="F20" s="28"/>
      <c r="G20" s="28" t="s">
        <v>144</v>
      </c>
      <c r="H20" s="28"/>
      <c r="I20" s="275" t="s">
        <v>674</v>
      </c>
    </row>
    <row r="21" spans="3:9" ht="43.2">
      <c r="C21" s="313" t="s">
        <v>675</v>
      </c>
      <c r="D21" s="310"/>
      <c r="E21" s="310"/>
      <c r="F21" s="310" t="s">
        <v>144</v>
      </c>
      <c r="G21" s="310"/>
      <c r="H21" s="310"/>
      <c r="I21" s="299" t="s">
        <v>676</v>
      </c>
    </row>
  </sheetData>
  <dataValidations count="1">
    <dataValidation allowBlank="1" showInputMessage="1" showErrorMessage="1" sqref="E7" xr:uid="{00000000-0002-0000-1700-000000000000}"/>
  </dataValidations>
  <hyperlinks>
    <hyperlink ref="I7" r:id="rId1" xr:uid="{00000000-0004-0000-1700-000000000000}"/>
    <hyperlink ref="J7" r:id="rId2" xr:uid="{00000000-0004-0000-1700-000001000000}"/>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M17"/>
  <sheetViews>
    <sheetView workbookViewId="0">
      <selection activeCell="M19" sqref="M19"/>
    </sheetView>
  </sheetViews>
  <sheetFormatPr defaultRowHeight="14.4"/>
  <cols>
    <col min="1" max="1" width="18.5546875" customWidth="1"/>
  </cols>
  <sheetData>
    <row r="1" spans="1:13">
      <c r="A1" s="314" t="s">
        <v>677</v>
      </c>
      <c r="B1" s="329" t="s">
        <v>678</v>
      </c>
      <c r="C1" s="329"/>
      <c r="D1" s="329"/>
      <c r="E1" s="329"/>
      <c r="F1" s="329"/>
    </row>
    <row r="2" spans="1:13" ht="15" customHeight="1">
      <c r="A2" s="330" t="s">
        <v>679</v>
      </c>
      <c r="B2" s="330"/>
      <c r="C2" s="330"/>
      <c r="D2" s="330"/>
      <c r="E2" s="330"/>
      <c r="F2" s="330"/>
    </row>
    <row r="3" spans="1:13">
      <c r="A3" s="330"/>
      <c r="B3" s="330"/>
      <c r="C3" s="330"/>
      <c r="D3" s="330"/>
      <c r="E3" s="330"/>
      <c r="F3" s="330"/>
    </row>
    <row r="4" spans="1:13">
      <c r="A4" s="330"/>
      <c r="B4" s="330"/>
      <c r="C4" s="330"/>
      <c r="D4" s="330"/>
      <c r="E4" s="330"/>
      <c r="F4" s="330"/>
    </row>
    <row r="5" spans="1:13">
      <c r="A5" s="330"/>
      <c r="B5" s="330"/>
      <c r="C5" s="330"/>
      <c r="D5" s="330"/>
      <c r="E5" s="330"/>
      <c r="F5" s="330"/>
    </row>
    <row r="6" spans="1:13">
      <c r="A6" s="330"/>
      <c r="B6" s="330"/>
      <c r="C6" s="330"/>
      <c r="D6" s="330"/>
      <c r="E6" s="330"/>
      <c r="F6" s="330"/>
    </row>
    <row r="7" spans="1:13">
      <c r="A7" s="330"/>
      <c r="B7" s="330"/>
      <c r="C7" s="330"/>
      <c r="D7" s="330"/>
      <c r="E7" s="330"/>
      <c r="F7" s="330"/>
    </row>
    <row r="8" spans="1:13">
      <c r="A8" s="330"/>
      <c r="B8" s="330"/>
      <c r="C8" s="330"/>
      <c r="D8" s="330"/>
      <c r="E8" s="330"/>
      <c r="F8" s="330"/>
    </row>
    <row r="9" spans="1:13">
      <c r="A9" s="330"/>
      <c r="B9" s="330"/>
      <c r="C9" s="330"/>
      <c r="D9" s="330"/>
      <c r="E9" s="330"/>
      <c r="F9" s="330"/>
      <c r="J9" t="s">
        <v>680</v>
      </c>
    </row>
    <row r="10" spans="1:13">
      <c r="A10" s="330"/>
      <c r="B10" s="330"/>
      <c r="C10" s="330"/>
      <c r="D10" s="330"/>
      <c r="E10" s="330"/>
      <c r="F10" s="330"/>
      <c r="J10" t="s">
        <v>681</v>
      </c>
    </row>
    <row r="11" spans="1:13">
      <c r="A11" s="330"/>
      <c r="B11" s="330"/>
      <c r="C11" s="330"/>
      <c r="D11" s="330"/>
      <c r="E11" s="330"/>
      <c r="F11" s="330"/>
      <c r="J11" t="s">
        <v>682</v>
      </c>
    </row>
    <row r="12" spans="1:13">
      <c r="A12" s="330"/>
      <c r="B12" s="330"/>
      <c r="C12" s="330"/>
      <c r="D12" s="330"/>
      <c r="E12" s="330"/>
      <c r="F12" s="330"/>
    </row>
    <row r="13" spans="1:13">
      <c r="A13" s="330"/>
      <c r="B13" s="330"/>
      <c r="C13" s="330"/>
      <c r="D13" s="330"/>
      <c r="E13" s="330"/>
      <c r="F13" s="330"/>
      <c r="J13" t="s">
        <v>683</v>
      </c>
      <c r="M13" t="s">
        <v>684</v>
      </c>
    </row>
    <row r="14" spans="1:13">
      <c r="A14" s="330"/>
      <c r="B14" s="330"/>
      <c r="C14" s="330"/>
      <c r="D14" s="330"/>
      <c r="E14" s="330"/>
      <c r="F14" s="330"/>
      <c r="J14" t="s">
        <v>685</v>
      </c>
      <c r="M14" t="s">
        <v>686</v>
      </c>
    </row>
    <row r="15" spans="1:13">
      <c r="A15" s="330"/>
      <c r="B15" s="330"/>
      <c r="C15" s="330"/>
      <c r="D15" s="330"/>
      <c r="E15" s="330"/>
      <c r="F15" s="330"/>
    </row>
    <row r="16" spans="1:13">
      <c r="A16" s="330"/>
      <c r="B16" s="330"/>
      <c r="C16" s="330"/>
      <c r="D16" s="330"/>
      <c r="E16" s="330"/>
      <c r="F16" s="330"/>
    </row>
    <row r="17" spans="1:6">
      <c r="A17" s="330"/>
      <c r="B17" s="330"/>
      <c r="C17" s="330"/>
      <c r="D17" s="330"/>
      <c r="E17" s="330"/>
      <c r="F17" s="330"/>
    </row>
  </sheetData>
  <mergeCells count="2">
    <mergeCell ref="B1:F1"/>
    <mergeCell ref="A2:F17"/>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K27"/>
  <sheetViews>
    <sheetView workbookViewId="0">
      <pane ySplit="1" topLeftCell="A2" activePane="bottomLeft" state="frozen"/>
      <selection pane="bottomLeft" activeCell="E2" sqref="E2"/>
    </sheetView>
  </sheetViews>
  <sheetFormatPr defaultRowHeight="14.4"/>
  <cols>
    <col min="2" max="2" width="15" bestFit="1" customWidth="1"/>
    <col min="3" max="3" width="12.109375" customWidth="1"/>
    <col min="4" max="4" width="13" customWidth="1"/>
    <col min="5" max="6" width="26.6640625" style="3" customWidth="1"/>
    <col min="7" max="7" width="41" style="3" customWidth="1"/>
    <col min="8" max="8" width="25" style="24" bestFit="1" customWidth="1"/>
    <col min="9" max="9" width="58.6640625" style="3" customWidth="1"/>
    <col min="10" max="10" width="51.6640625" customWidth="1"/>
  </cols>
  <sheetData>
    <row r="1" spans="1:11">
      <c r="A1" s="65" t="s">
        <v>259</v>
      </c>
      <c r="B1" s="75" t="s">
        <v>20</v>
      </c>
      <c r="C1" s="75" t="s">
        <v>24</v>
      </c>
      <c r="D1" s="75" t="s">
        <v>660</v>
      </c>
      <c r="E1" s="67" t="s">
        <v>687</v>
      </c>
      <c r="F1" s="48" t="s">
        <v>688</v>
      </c>
      <c r="G1" s="48" t="s">
        <v>666</v>
      </c>
      <c r="H1" s="49" t="s">
        <v>23</v>
      </c>
      <c r="I1" s="48" t="s">
        <v>689</v>
      </c>
      <c r="J1" s="68" t="s">
        <v>33</v>
      </c>
    </row>
    <row r="2" spans="1:11" ht="144">
      <c r="A2" s="73" t="s">
        <v>34</v>
      </c>
      <c r="B2" s="122" t="s">
        <v>690</v>
      </c>
      <c r="C2" s="124">
        <f ca="1">D2-TODAY()</f>
        <v>-177</v>
      </c>
      <c r="D2" s="125">
        <v>44895</v>
      </c>
      <c r="E2" s="69" t="s">
        <v>691</v>
      </c>
      <c r="F2" s="47" t="s">
        <v>692</v>
      </c>
      <c r="G2" s="16" t="s">
        <v>693</v>
      </c>
      <c r="H2" s="46">
        <v>44895.666666666664</v>
      </c>
      <c r="I2" s="16" t="s">
        <v>694</v>
      </c>
      <c r="J2" s="51"/>
      <c r="K2" s="66" t="s">
        <v>695</v>
      </c>
    </row>
    <row r="3" spans="1:11" ht="144">
      <c r="A3" s="74" t="s">
        <v>34</v>
      </c>
      <c r="C3" s="124">
        <f t="shared" ref="C3:C6" ca="1" si="0">D3-TODAY()</f>
        <v>-140</v>
      </c>
      <c r="D3" s="125">
        <v>44932</v>
      </c>
      <c r="E3" s="70" t="s">
        <v>696</v>
      </c>
      <c r="F3" s="41" t="s">
        <v>697</v>
      </c>
      <c r="G3" s="41" t="s">
        <v>698</v>
      </c>
      <c r="H3" s="71" t="s">
        <v>699</v>
      </c>
      <c r="I3" s="41" t="s">
        <v>700</v>
      </c>
      <c r="J3" s="72" t="s">
        <v>701</v>
      </c>
      <c r="K3" s="43" t="s">
        <v>702</v>
      </c>
    </row>
    <row r="4" spans="1:11">
      <c r="A4" s="50"/>
      <c r="B4" s="76"/>
      <c r="C4" s="124"/>
      <c r="D4" s="76"/>
      <c r="E4" s="16"/>
      <c r="F4" s="16"/>
      <c r="G4" s="16"/>
      <c r="H4" s="22"/>
      <c r="I4" s="16"/>
      <c r="J4" s="51"/>
    </row>
    <row r="5" spans="1:11" ht="259.2">
      <c r="A5" s="50"/>
      <c r="C5" s="124">
        <f t="shared" ca="1" si="0"/>
        <v>-141</v>
      </c>
      <c r="D5" s="125">
        <v>44931</v>
      </c>
      <c r="E5" s="16" t="s">
        <v>703</v>
      </c>
      <c r="F5" s="16" t="s">
        <v>704</v>
      </c>
      <c r="G5" s="16" t="s">
        <v>705</v>
      </c>
      <c r="H5" s="22" t="s">
        <v>706</v>
      </c>
      <c r="I5" s="16" t="s">
        <v>707</v>
      </c>
      <c r="J5" s="51"/>
      <c r="K5" s="43" t="s">
        <v>708</v>
      </c>
    </row>
    <row r="6" spans="1:11" ht="57.6">
      <c r="A6" s="120" t="s">
        <v>4</v>
      </c>
      <c r="B6" s="18" t="s">
        <v>709</v>
      </c>
      <c r="C6" s="124">
        <f t="shared" ca="1" si="0"/>
        <v>-122</v>
      </c>
      <c r="D6" s="126">
        <v>44950</v>
      </c>
      <c r="E6" s="121" t="s">
        <v>710</v>
      </c>
      <c r="F6" s="16" t="s">
        <v>711</v>
      </c>
      <c r="G6" s="16" t="s">
        <v>712</v>
      </c>
      <c r="H6" s="22" t="s">
        <v>713</v>
      </c>
      <c r="I6" s="30"/>
      <c r="J6" s="51"/>
    </row>
    <row r="7" spans="1:11">
      <c r="A7" s="50"/>
      <c r="B7" s="123"/>
      <c r="C7" s="123"/>
      <c r="D7" s="123"/>
      <c r="E7" s="16"/>
      <c r="F7" s="16"/>
      <c r="G7" s="45"/>
      <c r="H7" s="22"/>
      <c r="I7" s="44"/>
      <c r="J7" s="51"/>
    </row>
    <row r="8" spans="1:11">
      <c r="A8" s="50"/>
      <c r="B8" s="76"/>
      <c r="C8" s="76"/>
      <c r="D8" s="76"/>
      <c r="E8" s="16"/>
      <c r="F8" s="16"/>
      <c r="G8" s="45"/>
      <c r="H8" s="22"/>
      <c r="I8" s="19"/>
      <c r="J8" s="51"/>
    </row>
    <row r="9" spans="1:11">
      <c r="A9" s="50"/>
      <c r="B9" s="76"/>
      <c r="C9" s="76"/>
      <c r="D9" s="76"/>
      <c r="E9" s="16"/>
      <c r="F9" s="16"/>
      <c r="G9" s="16"/>
      <c r="H9" s="22"/>
      <c r="I9" s="16"/>
      <c r="J9" s="51"/>
    </row>
    <row r="10" spans="1:11">
      <c r="A10" s="50"/>
      <c r="B10" s="76"/>
      <c r="C10" s="76"/>
      <c r="D10" s="76"/>
      <c r="E10" s="16"/>
      <c r="F10" s="16"/>
      <c r="G10" s="16"/>
      <c r="H10" s="22"/>
      <c r="I10" s="16"/>
      <c r="J10" s="51"/>
    </row>
    <row r="11" spans="1:11">
      <c r="A11" s="50"/>
      <c r="B11" s="76"/>
      <c r="C11" s="76"/>
      <c r="D11" s="76"/>
      <c r="E11" s="16"/>
      <c r="F11" s="16"/>
      <c r="G11" s="16"/>
      <c r="H11" s="22"/>
      <c r="I11" s="16"/>
      <c r="J11" s="51"/>
    </row>
    <row r="12" spans="1:11">
      <c r="A12" s="50"/>
      <c r="B12" s="76"/>
      <c r="C12" s="76"/>
      <c r="D12" s="76"/>
      <c r="E12" s="16"/>
      <c r="F12" s="16"/>
      <c r="G12" s="16"/>
      <c r="H12" s="22"/>
      <c r="I12" s="16"/>
      <c r="J12" s="51"/>
    </row>
    <row r="13" spans="1:11">
      <c r="A13" s="50"/>
      <c r="B13" s="76"/>
      <c r="C13" s="76"/>
      <c r="D13" s="76"/>
      <c r="E13" s="16"/>
      <c r="F13" s="16"/>
      <c r="G13" s="16"/>
      <c r="H13" s="22"/>
      <c r="I13" s="16"/>
      <c r="J13" s="51"/>
    </row>
    <row r="14" spans="1:11">
      <c r="A14" s="50"/>
      <c r="B14" s="76"/>
      <c r="C14" s="76"/>
      <c r="D14" s="76"/>
      <c r="E14" s="16"/>
      <c r="F14" s="16"/>
      <c r="G14" s="20"/>
      <c r="H14" s="22"/>
      <c r="I14" s="21"/>
      <c r="J14" s="51"/>
    </row>
    <row r="15" spans="1:11">
      <c r="A15" s="50"/>
      <c r="B15" s="76"/>
      <c r="C15" s="76"/>
      <c r="D15" s="76"/>
      <c r="E15" s="16"/>
      <c r="F15" s="16"/>
      <c r="G15" s="16"/>
      <c r="H15" s="22"/>
      <c r="I15" s="16"/>
      <c r="J15" s="51"/>
    </row>
    <row r="16" spans="1:11">
      <c r="A16" s="50"/>
      <c r="B16" s="76"/>
      <c r="C16" s="76"/>
      <c r="D16" s="76"/>
      <c r="E16" s="16"/>
      <c r="F16" s="16"/>
      <c r="G16" s="16"/>
      <c r="H16" s="23"/>
      <c r="I16" s="16"/>
      <c r="J16" s="51"/>
    </row>
    <row r="17" spans="1:10">
      <c r="A17" s="50"/>
      <c r="B17" s="76"/>
      <c r="C17" s="76"/>
      <c r="D17" s="76"/>
      <c r="E17" s="16"/>
      <c r="F17" s="16"/>
      <c r="G17" s="16"/>
      <c r="H17" s="23"/>
      <c r="I17" s="16"/>
      <c r="J17" s="51"/>
    </row>
    <row r="18" spans="1:10">
      <c r="A18" s="50"/>
      <c r="B18" s="76"/>
      <c r="C18" s="76"/>
      <c r="D18" s="76"/>
      <c r="E18" s="16"/>
      <c r="F18" s="16"/>
      <c r="G18" s="16"/>
      <c r="H18" s="23"/>
      <c r="I18" s="16"/>
      <c r="J18" s="51"/>
    </row>
    <row r="19" spans="1:10">
      <c r="A19" s="50"/>
      <c r="B19" s="76"/>
      <c r="C19" s="76"/>
      <c r="D19" s="76"/>
      <c r="E19" s="16"/>
      <c r="F19" s="16"/>
      <c r="G19" s="16"/>
      <c r="H19" s="23"/>
      <c r="I19" s="16"/>
      <c r="J19" s="51"/>
    </row>
    <row r="20" spans="1:10">
      <c r="A20" s="50"/>
      <c r="B20" s="76"/>
      <c r="C20" s="76"/>
      <c r="D20" s="76"/>
      <c r="E20" s="16"/>
      <c r="F20" s="16"/>
      <c r="G20" s="16"/>
      <c r="H20" s="23"/>
      <c r="I20" s="16"/>
      <c r="J20" s="51"/>
    </row>
    <row r="21" spans="1:10">
      <c r="A21" s="50"/>
      <c r="B21" s="76"/>
      <c r="C21" s="76"/>
      <c r="D21" s="76"/>
      <c r="E21" s="16"/>
      <c r="F21" s="16"/>
      <c r="G21" s="16"/>
      <c r="H21" s="23"/>
      <c r="I21" s="16"/>
      <c r="J21" s="51"/>
    </row>
    <row r="22" spans="1:10">
      <c r="A22" s="50"/>
      <c r="B22" s="76"/>
      <c r="C22" s="76"/>
      <c r="D22" s="76"/>
      <c r="E22" s="16"/>
      <c r="F22" s="16"/>
      <c r="G22" s="16"/>
      <c r="H22" s="23"/>
      <c r="I22" s="16"/>
      <c r="J22" s="51"/>
    </row>
    <row r="23" spans="1:10">
      <c r="A23" s="50"/>
      <c r="B23" s="76"/>
      <c r="C23" s="76"/>
      <c r="D23" s="76"/>
      <c r="E23" s="16"/>
      <c r="F23" s="16"/>
      <c r="G23" s="16"/>
      <c r="H23" s="23"/>
      <c r="I23" s="16"/>
      <c r="J23" s="51"/>
    </row>
    <row r="24" spans="1:10">
      <c r="A24" s="50"/>
      <c r="B24" s="76"/>
      <c r="C24" s="76"/>
      <c r="D24" s="76"/>
      <c r="E24" s="16"/>
      <c r="F24" s="16"/>
      <c r="G24" s="16"/>
      <c r="H24" s="23"/>
      <c r="I24" s="16"/>
      <c r="J24" s="51"/>
    </row>
    <row r="25" spans="1:10">
      <c r="A25" s="50"/>
      <c r="B25" s="76"/>
      <c r="C25" s="76"/>
      <c r="D25" s="76"/>
      <c r="E25" s="16"/>
      <c r="F25" s="16"/>
      <c r="G25" s="16"/>
      <c r="H25" s="23"/>
      <c r="I25" s="16"/>
      <c r="J25" s="51"/>
    </row>
    <row r="26" spans="1:10">
      <c r="A26" s="50"/>
      <c r="B26" s="76"/>
      <c r="C26" s="76"/>
      <c r="D26" s="76"/>
      <c r="E26" s="16"/>
      <c r="F26" s="16"/>
      <c r="G26" s="16"/>
      <c r="H26" s="23"/>
      <c r="I26" s="16"/>
      <c r="J26" s="51"/>
    </row>
    <row r="27" spans="1:10">
      <c r="A27" s="52"/>
      <c r="B27" s="77"/>
      <c r="C27" s="77"/>
      <c r="D27" s="77"/>
      <c r="E27" s="41"/>
      <c r="F27" s="41"/>
      <c r="G27" s="41"/>
      <c r="H27" s="53"/>
      <c r="I27" s="41"/>
      <c r="J27" s="54"/>
    </row>
  </sheetData>
  <conditionalFormatting sqref="C2:C1048576">
    <cfRule type="cellIs" dxfId="298" priority="1" operator="greaterThan">
      <formula>10</formula>
    </cfRule>
  </conditionalFormatting>
  <hyperlinks>
    <hyperlink ref="K2" r:id="rId1" xr:uid="{00000000-0004-0000-1900-000000000000}"/>
    <hyperlink ref="K3" r:id="rId2" xr:uid="{00000000-0004-0000-1900-000001000000}"/>
    <hyperlink ref="K5" r:id="rId3" xr:uid="{00000000-0004-0000-1900-000002000000}"/>
  </hyperlinks>
  <pageMargins left="0.7" right="0.7" top="0.75" bottom="0.75" header="0.3" footer="0.3"/>
  <legacy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1fd00b6-9291-4ab3-ae4d-63e700adee3c">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C57F49242FF3348B0D09F79C36D98E6" ma:contentTypeVersion="12" ma:contentTypeDescription="Create a new document." ma:contentTypeScope="" ma:versionID="699e4f4f7bedb771f973ef6a90eb265e">
  <xsd:schema xmlns:xsd="http://www.w3.org/2001/XMLSchema" xmlns:xs="http://www.w3.org/2001/XMLSchema" xmlns:p="http://schemas.microsoft.com/office/2006/metadata/properties" xmlns:ns2="d1fd00b6-9291-4ab3-ae4d-63e700adee3c" xmlns:ns3="7d3c4976-62d9-4261-942e-f1040777c611" targetNamespace="http://schemas.microsoft.com/office/2006/metadata/properties" ma:root="true" ma:fieldsID="b85738afa6baf8fb704be47e0c386cff" ns2:_="" ns3:_="">
    <xsd:import namespace="d1fd00b6-9291-4ab3-ae4d-63e700adee3c"/>
    <xsd:import namespace="7d3c4976-62d9-4261-942e-f1040777c611"/>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Location" minOccurs="0"/>
                <xsd:element ref="ns2:MediaServiceOCR" minOccurs="0"/>
                <xsd:element ref="ns2:MediaServiceGenerationTime" minOccurs="0"/>
                <xsd:element ref="ns2:MediaServiceEventHashCode" minOccurs="0"/>
                <xsd:element ref="ns2: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1fd00b6-9291-4ab3-ae4d-63e700adee3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13a4d869-5612-429d-9a7b-ecda929b05e2"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7d3c4976-62d9-4261-942e-f1040777c611"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994651E-9B04-48EF-B722-1051547D18B9}">
  <ds:schemaRefs>
    <ds:schemaRef ds:uri="http://purl.org/dc/dcmitype/"/>
    <ds:schemaRef ds:uri="http://schemas.microsoft.com/office/2006/metadata/properties"/>
    <ds:schemaRef ds:uri="http://www.w3.org/XML/1998/namespace"/>
    <ds:schemaRef ds:uri="http://purl.org/dc/elements/1.1/"/>
    <ds:schemaRef ds:uri="http://schemas.microsoft.com/office/2006/documentManagement/types"/>
    <ds:schemaRef ds:uri="http://schemas.openxmlformats.org/package/2006/metadata/core-properties"/>
    <ds:schemaRef ds:uri="http://schemas.microsoft.com/office/infopath/2007/PartnerControls"/>
    <ds:schemaRef ds:uri="7d3c4976-62d9-4261-942e-f1040777c611"/>
    <ds:schemaRef ds:uri="d1fd00b6-9291-4ab3-ae4d-63e700adee3c"/>
    <ds:schemaRef ds:uri="http://purl.org/dc/terms/"/>
  </ds:schemaRefs>
</ds:datastoreItem>
</file>

<file path=customXml/itemProps2.xml><?xml version="1.0" encoding="utf-8"?>
<ds:datastoreItem xmlns:ds="http://schemas.openxmlformats.org/officeDocument/2006/customXml" ds:itemID="{B25FFC97-57FC-413E-B18B-EFAFBFAF1C4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1fd00b6-9291-4ab3-ae4d-63e700adee3c"/>
    <ds:schemaRef ds:uri="7d3c4976-62d9-4261-942e-f1040777c61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5F51DB-D44F-4BC0-A303-0C6AD50C9C0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Dashboard Old</vt:lpstr>
      <vt:lpstr>Dashboard</vt:lpstr>
      <vt:lpstr>Sheet6</vt:lpstr>
      <vt:lpstr>Tender Dashboard</vt:lpstr>
      <vt:lpstr>Payment Dashboard May </vt:lpstr>
      <vt:lpstr>Working sheet</vt:lpstr>
      <vt:lpstr>Observations</vt:lpstr>
      <vt:lpstr>Req</vt:lpstr>
      <vt:lpstr>Sheet7</vt:lpstr>
      <vt:lpstr>Testing</vt:lpstr>
      <vt:lpstr>Qualifying parameters</vt:lpstr>
      <vt:lpstr>Sheet10</vt:lpstr>
      <vt:lpstr>PT Pivot</vt:lpstr>
      <vt:lpstr>Payment tracking</vt:lpstr>
      <vt:lpstr>Sheet5</vt:lpstr>
      <vt:lpstr>Sheet4</vt:lpstr>
      <vt:lpstr>Sheet1</vt:lpstr>
      <vt:lpstr>Do not delete</vt:lpstr>
      <vt:lpstr>Sheet2</vt:lpstr>
      <vt:lpstr>Sheet3</vt:lpstr>
      <vt:lpstr>Tender Documents</vt:lpstr>
      <vt:lpstr>Validations</vt:lpstr>
      <vt:lpstr>Requirements sent to management</vt:lpstr>
      <vt:lpstr>Rough</vt:lpstr>
      <vt:lpstr>MOM</vt:lpstr>
      <vt:lpstr>US Website current tenders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Swati Shukla</dc:creator>
  <cp:keywords/>
  <dc:description/>
  <cp:lastModifiedBy>Swati Shukla</cp:lastModifiedBy>
  <cp:revision/>
  <dcterms:created xsi:type="dcterms:W3CDTF">2022-09-14T09:59:47Z</dcterms:created>
  <dcterms:modified xsi:type="dcterms:W3CDTF">2023-05-26T09:29:24Z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0x010100AC57F49242FF3348B0D09F79C36D98E6</vt:lpwstr>
  </property>
  <property fmtid="{D5CDD505-2E9C-101B-9397-08002B2CF9AE}" pid="3" name="MediaServiceImageTags">
    <vt:lpwstr/>
  </property>
</Properties>
</file>